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스트 개요" sheetId="1" r:id="rId5"/>
    <sheet state="visible" name="TC_DEV" sheetId="2" r:id="rId6"/>
  </sheets>
  <definedNames>
    <definedName hidden="1" localSheetId="1" name="_xlnm._FilterDatabase">TC_DEV!$B$3:$I$49</definedName>
  </definedNames>
  <calcPr/>
</workbook>
</file>

<file path=xl/sharedStrings.xml><?xml version="1.0" encoding="utf-8"?>
<sst xmlns="http://schemas.openxmlformats.org/spreadsheetml/2006/main" count="337" uniqueCount="254">
  <si>
    <r>
      <rPr>
        <rFont val="Malgun Gothic"/>
        <b/>
        <color rgb="FFFFFFFF"/>
        <sz val="16.0"/>
      </rPr>
      <t xml:space="preserve">HomeShield </t>
    </r>
    <r>
      <rPr>
        <rFont val="Noto Sans CJK SC"/>
        <b/>
        <color rgb="FFFFFFFF"/>
        <sz val="16.0"/>
      </rPr>
      <t>테스트 개요</t>
    </r>
  </si>
  <si>
    <r>
      <rPr>
        <rFont val="Malgun Gothic"/>
        <b/>
        <color rgb="FFFFFFFF"/>
        <sz val="16.0"/>
      </rPr>
      <t xml:space="preserve">HomeShield </t>
    </r>
    <r>
      <rPr>
        <rFont val="Noto Sans CJK SC"/>
        <b/>
        <color rgb="FFFFFFFF"/>
        <sz val="16.0"/>
      </rPr>
      <t>사용자 테스트케이스</t>
    </r>
  </si>
  <si>
    <r>
      <rPr>
        <rFont val="Malgun Gothic"/>
        <b/>
        <color rgb="FF1F4E78"/>
        <sz val="11.0"/>
      </rPr>
      <t xml:space="preserve">1. </t>
    </r>
    <r>
      <rPr>
        <rFont val="Noto Sans CJK SC"/>
        <b/>
        <color rgb="FF1F4E78"/>
        <sz val="11.0"/>
      </rPr>
      <t>테스트 개요</t>
    </r>
  </si>
  <si>
    <t>테스트 제목</t>
  </si>
  <si>
    <r>
      <rPr>
        <rFont val="Malgun Gothic"/>
        <color theme="1"/>
        <sz val="10.0"/>
      </rPr>
      <t xml:space="preserve">HomeShield </t>
    </r>
    <r>
      <rPr>
        <rFont val="Noto Sans CJK SC"/>
        <color theme="1"/>
        <sz val="10.0"/>
      </rPr>
      <t>사용자 테스트케이스</t>
    </r>
  </si>
  <si>
    <t>■ 테스트 정보</t>
  </si>
  <si>
    <t>테스트 목적</t>
  </si>
  <si>
    <t>전세사기 방지·임대차 계약 분석 서비스의 사용자 주요 기능 검증</t>
  </si>
  <si>
    <t>대상 서비스</t>
  </si>
  <si>
    <r>
      <rPr>
        <rFont val="Malgun Gothic"/>
        <color theme="1"/>
        <sz val="10.0"/>
      </rPr>
      <t>HomeShield (</t>
    </r>
    <r>
      <rPr>
        <rFont val="Noto Sans CJK SC"/>
        <color theme="1"/>
        <sz val="10.0"/>
      </rPr>
      <t xml:space="preserve">계약서 분석 </t>
    </r>
    <r>
      <rPr>
        <rFont val="Malgun Gothic"/>
        <color theme="1"/>
        <sz val="10.0"/>
      </rPr>
      <t xml:space="preserve">· OCR </t>
    </r>
    <r>
      <rPr>
        <rFont val="Noto Sans CJK SC"/>
        <color theme="1"/>
        <sz val="10.0"/>
      </rPr>
      <t xml:space="preserve">진단 </t>
    </r>
    <r>
      <rPr>
        <rFont val="Malgun Gothic"/>
        <color theme="1"/>
        <sz val="10.0"/>
      </rPr>
      <t xml:space="preserve">· AI </t>
    </r>
    <r>
      <rPr>
        <rFont val="Noto Sans CJK SC"/>
        <color theme="1"/>
        <sz val="10.0"/>
      </rPr>
      <t>상담</t>
    </r>
    <r>
      <rPr>
        <rFont val="Malgun Gothic"/>
        <color theme="1"/>
        <sz val="10.0"/>
      </rPr>
      <t>)</t>
    </r>
  </si>
  <si>
    <t>작성일</t>
  </si>
  <si>
    <t>작성자</t>
  </si>
  <si>
    <t>김진남</t>
  </si>
  <si>
    <r>
      <rPr>
        <rFont val="Malgun Gothic"/>
        <b/>
        <color rgb="FF1F4E78"/>
        <sz val="11.0"/>
      </rPr>
      <t xml:space="preserve">2. </t>
    </r>
    <r>
      <rPr>
        <rFont val="Noto Sans CJK SC"/>
        <b/>
        <color rgb="FF1F4E78"/>
        <sz val="11.0"/>
      </rPr>
      <t>테스트 항목</t>
    </r>
  </si>
  <si>
    <t>대분류</t>
  </si>
  <si>
    <t>테스트 진행자</t>
  </si>
  <si>
    <t>세부 항목 (중분류)</t>
  </si>
  <si>
    <t>케이스 수</t>
  </si>
  <si>
    <t>회원</t>
  </si>
  <si>
    <t>회원가입, 로그인, 로그아웃, 회원 탈퇴</t>
  </si>
  <si>
    <t>홈</t>
  </si>
  <si>
    <t>주요 기능 이동</t>
  </si>
  <si>
    <t>계약 분석</t>
  </si>
  <si>
    <t>파일 업로드, OCR 진단</t>
  </si>
  <si>
    <t>■ 테스트 결과 요약  (H열 Pass/Fail 기준 자동 집계)</t>
  </si>
  <si>
    <t>위험 보고서</t>
  </si>
  <si>
    <t>보고서 항목, 이전 기록 진입, 기타</t>
  </si>
  <si>
    <r>
      <rPr>
        <rFont val="Malgun Gothic"/>
        <b/>
        <color rgb="FF1F4E78"/>
        <sz val="10.0"/>
      </rPr>
      <t xml:space="preserve">AI </t>
    </r>
    <r>
      <rPr>
        <rFont val="Noto Sans CJK SC"/>
        <b/>
        <color rgb="FF1F4E78"/>
        <sz val="10.0"/>
      </rPr>
      <t>상담</t>
    </r>
  </si>
  <si>
    <t>상담 기능, 대화 관리</t>
  </si>
  <si>
    <t>알림</t>
  </si>
  <si>
    <t>상태</t>
  </si>
  <si>
    <t>알림 UI, 알림 기능</t>
  </si>
  <si>
    <t>개수</t>
  </si>
  <si>
    <t>비율</t>
  </si>
  <si>
    <t>마이페이지</t>
  </si>
  <si>
    <t>회원정보 이동, 프로필 변경, 조회 기능</t>
  </si>
  <si>
    <t>진행률</t>
  </si>
  <si>
    <t>합계</t>
  </si>
  <si>
    <t>Pass</t>
  </si>
  <si>
    <t>※ 케이스 수는 TC_DEV 시트 기준 스냅샷입니다.</t>
  </si>
  <si>
    <r>
      <rPr>
        <rFont val="Malgun Gothic"/>
        <b/>
        <color rgb="FF1F4E78"/>
        <sz val="11.0"/>
      </rPr>
      <t xml:space="preserve">3. </t>
    </r>
    <r>
      <rPr>
        <rFont val="Noto Sans CJK SC"/>
        <b/>
        <color rgb="FF1F4E78"/>
        <sz val="11.0"/>
      </rPr>
      <t>테스트 일정</t>
    </r>
  </si>
  <si>
    <t>시작일</t>
  </si>
  <si>
    <t>종료일</t>
  </si>
  <si>
    <t>테스트 기간</t>
  </si>
  <si>
    <r>
      <rPr>
        <rFont val="Malgun Gothic"/>
        <b/>
        <color rgb="FF1F4E78"/>
        <sz val="11.0"/>
      </rPr>
      <t xml:space="preserve">4. </t>
    </r>
    <r>
      <rPr>
        <rFont val="Noto Sans CJK SC"/>
        <b/>
        <color rgb="FF1F4E78"/>
        <sz val="11.0"/>
      </rPr>
      <t xml:space="preserve">결과 보고서  </t>
    </r>
    <r>
      <rPr>
        <rFont val="Malgun Gothic"/>
        <b/>
        <color rgb="FF1F4E78"/>
        <sz val="11.0"/>
      </rPr>
      <t xml:space="preserve">(TC_DEV </t>
    </r>
    <r>
      <rPr>
        <rFont val="Noto Sans CJK SC"/>
        <b/>
        <color rgb="FF1F4E78"/>
        <sz val="11.0"/>
      </rPr>
      <t>자동 연동</t>
    </r>
    <r>
      <rPr>
        <rFont val="Malgun Gothic"/>
        <b/>
        <color rgb="FF1F4E78"/>
        <sz val="11.0"/>
      </rPr>
      <t>)</t>
    </r>
  </si>
  <si>
    <t>Fail</t>
  </si>
  <si>
    <t>Not Test</t>
  </si>
  <si>
    <t>N/A</t>
  </si>
  <si>
    <r>
      <rPr>
        <rFont val="Malgun Gothic"/>
        <b/>
        <color rgb="FF1F4E78"/>
        <sz val="11.0"/>
      </rPr>
      <t xml:space="preserve">5. </t>
    </r>
    <r>
      <rPr>
        <rFont val="Arial"/>
        <b/>
        <color rgb="FF1F4E78"/>
        <sz val="11.0"/>
      </rPr>
      <t>결과 코멘트</t>
    </r>
  </si>
  <si>
    <r>
      <rPr>
        <rFont val="Malgun Gothic"/>
        <b/>
        <color theme="1"/>
        <sz val="10.0"/>
      </rPr>
      <t>테스트 결과</t>
    </r>
    <r>
      <rPr>
        <rFont val="Malgun Gothic"/>
        <color theme="1"/>
        <sz val="10.0"/>
      </rPr>
      <t xml:space="preserve">
</t>
    </r>
    <r>
      <rPr>
        <rFont val="Malgun Gothic"/>
        <b/>
        <color theme="1"/>
        <sz val="10.0"/>
      </rPr>
      <t>전체 46건의 테스트 케이스를 수행하여 모두 Pass 처리되었습니다.</t>
    </r>
    <r>
      <rPr>
        <rFont val="Malgun Gothic"/>
        <color theme="1"/>
        <sz val="10.0"/>
      </rPr>
      <t xml:space="preserve"> 회원가입·로그인, 계약서 업로드 및 OCR 진단, 위험 보고서, AI 상담, 알림, 마이페이지 등 주요 기능 흐름이 정상 시나리오 기준으로 모두 정상 동작함을 확인하였습니다.
</t>
    </r>
    <r>
      <rPr>
        <rFont val="Malgun Gothic"/>
        <b/>
        <color theme="1"/>
        <sz val="10.0"/>
      </rPr>
      <t>제한 사항</t>
    </r>
    <r>
      <rPr>
        <rFont val="Malgun Gothic"/>
        <color theme="1"/>
        <sz val="10.0"/>
      </rPr>
      <t xml:space="preserve">
계약서 파일 오입력 및 일부 예외 처리 케이스는 이번 테스트 범위에서 제외되었습니다. 다만 해당 항목은 시연에 필요한 필수 기능에 해당하지 않으며, 정상 시나리오 기준의 핵심 기능 검증 결과에는 영향을 주지 않습니다.
</t>
    </r>
    <r>
      <rPr>
        <rFont val="Malgun Gothic"/>
        <b/>
        <color theme="1"/>
        <sz val="10.0"/>
      </rPr>
      <t>QA 종합 의견</t>
    </r>
    <r>
      <rPr>
        <rFont val="Malgun Gothic"/>
        <color theme="1"/>
        <sz val="10.0"/>
      </rPr>
      <t xml:space="preserve">
기본 기능 검증 기준으로 결함이 발견되지 않았고 주요 사용자 플로우가 안정적으로 동작하므로, 현재 빌드는 시연용으로 충분하다고 판단됩니다. 다만 정식 릴리스 전에는 파일 오입력·예외 케이스에 대한 추가 검증을 권장합니다.
</t>
    </r>
  </si>
  <si>
    <t>케이스넘버</t>
  </si>
  <si>
    <t>중분류</t>
  </si>
  <si>
    <t>소분류</t>
  </si>
  <si>
    <t>재현스탭</t>
  </si>
  <si>
    <t>기대사항</t>
  </si>
  <si>
    <t>Pass/Fail</t>
  </si>
  <si>
    <t>비고</t>
  </si>
  <si>
    <t>진행 완료율</t>
  </si>
  <si>
    <t>TC-001</t>
  </si>
  <si>
    <t>회원가입</t>
  </si>
  <si>
    <t>이메일</t>
  </si>
  <si>
    <t>이메일로 시작하기 &gt; 정보 입력 &gt; 필수 약관 동의 &gt;회원가입 클릭</t>
  </si>
  <si>
    <t>합격률(Pass Rate)</t>
  </si>
  <si>
    <t>가입이 완료되고 로그인 또는 홈 화면으로 이동한다.</t>
  </si>
  <si>
    <t>※ 진행 완료율 = (Pass+Fail)/전체,  합격률 = Pass/(Pass+Fail)</t>
  </si>
  <si>
    <t>TC-002</t>
  </si>
  <si>
    <t>회원가입 화면에서 이용약관 및 개인정보 처리방침의 보기 클릭</t>
  </si>
  <si>
    <t>선택한 약관 내용이 모달로 표시된다.</t>
  </si>
  <si>
    <t>TC-003</t>
  </si>
  <si>
    <t>카카오</t>
  </si>
  <si>
    <t>카카오로 시작하기 &gt; 카카오 인증 &gt; 닉네임·약관 입력 &gt; 가입 완료</t>
  </si>
  <si>
    <t>카카오 계정으로 회원가입되고 서비스에 진입한다.</t>
  </si>
  <si>
    <t>카카오 설정 필요</t>
  </si>
  <si>
    <t>TC-004</t>
  </si>
  <si>
    <t>TC-005</t>
  </si>
  <si>
    <t>로그인</t>
  </si>
  <si>
    <t>이메일로 가입한 계정으로 로그인 시도</t>
  </si>
  <si>
    <t>로그인되고 홈 화면으로 이동한다.</t>
  </si>
  <si>
    <t>TC-006</t>
  </si>
  <si>
    <t>카카오로 가입한 계정으로 로그인 시도</t>
  </si>
  <si>
    <t>TC-007</t>
  </si>
  <si>
    <t>로그인 상태 유지</t>
  </si>
  <si>
    <t>로그인 &gt; 페이지 새로고침</t>
  </si>
  <si>
    <t>로그인 상태가 유지된다.</t>
  </si>
  <si>
    <t>로그인 &gt; 브라우저 재접속</t>
  </si>
  <si>
    <t>TC-008</t>
  </si>
  <si>
    <t>로그아웃</t>
  </si>
  <si>
    <t>로그인 상태에서 로그아웃 클릭</t>
  </si>
  <si>
    <t>세션이 종료되고 비회원 상태로 전환된다.</t>
  </si>
  <si>
    <t>TC-009</t>
  </si>
  <si>
    <t>계약서 분석</t>
  </si>
  <si>
    <t>홈에서 계약서 분석 클릭</t>
  </si>
  <si>
    <t>선택한 기능 화면으로 정상 이동한다.</t>
  </si>
  <si>
    <t>TC-010</t>
  </si>
  <si>
    <r>
      <rPr>
        <rFont val="Malgun Gothic"/>
        <color theme="1"/>
        <sz val="10.0"/>
      </rPr>
      <t xml:space="preserve">AI </t>
    </r>
    <r>
      <rPr>
        <rFont val="Noto Sans CJK SC"/>
        <color theme="1"/>
        <sz val="10.0"/>
      </rPr>
      <t>상담</t>
    </r>
  </si>
  <si>
    <t>홈에서 AI 상담  클릭</t>
  </si>
  <si>
    <t>TC-011</t>
  </si>
  <si>
    <t>홈에서 마이페이지 클릭</t>
  </si>
  <si>
    <t>TC-012</t>
  </si>
  <si>
    <t>파일 업로드</t>
  </si>
  <si>
    <t>단일 업로드</t>
  </si>
  <si>
    <t>계약 분석 → 임대차계약서·등기부등본·건축물대장을 각각 업로드</t>
  </si>
  <si>
    <t>각 영역에 업로드한 파일명과 용량이 표시된다.</t>
  </si>
  <si>
    <t>PDF·PNG·JPG</t>
  </si>
  <si>
    <t>TC-013</t>
  </si>
  <si>
    <t>다중 업로드</t>
  </si>
  <si>
    <t>한 서류 영역에 여러 장의 파일을 업로드</t>
  </si>
  <si>
    <t>선택한 파일이 모두 목록에 표시된다.</t>
  </si>
  <si>
    <t>전체 최대 10개</t>
  </si>
  <si>
    <t>TC-014</t>
  </si>
  <si>
    <t>업로드 종류 확인</t>
  </si>
  <si>
    <r>
      <rPr>
        <rFont val="Malgun Gothic"/>
        <color theme="1"/>
        <sz val="10.0"/>
      </rPr>
      <t xml:space="preserve">PNG, JPG </t>
    </r>
    <r>
      <rPr>
        <rFont val="Noto Sans CJK SC"/>
        <color theme="1"/>
        <sz val="10.0"/>
      </rPr>
      <t>파일 업로드</t>
    </r>
  </si>
  <si>
    <r>
      <rPr>
        <rFont val="Malgun Gothic"/>
        <color theme="1"/>
        <sz val="10.0"/>
      </rPr>
      <t xml:space="preserve">PNG, JPG </t>
    </r>
    <r>
      <rPr>
        <rFont val="Noto Sans CJK SC"/>
        <color theme="1"/>
        <sz val="10.0"/>
      </rPr>
      <t>파일 업로드 파일명 및 용량이 표시된다</t>
    </r>
  </si>
  <si>
    <t>TC-015</t>
  </si>
  <si>
    <r>
      <rPr>
        <rFont val="Malgun Gothic"/>
        <color theme="1"/>
        <sz val="10.0"/>
      </rPr>
      <t xml:space="preserve">PDF </t>
    </r>
    <r>
      <rPr>
        <rFont val="Noto Sans CJK SC"/>
        <color theme="1"/>
        <sz val="10.0"/>
      </rPr>
      <t>파일 업로드</t>
    </r>
  </si>
  <si>
    <r>
      <rPr>
        <rFont val="Malgun Gothic"/>
        <color theme="1"/>
        <sz val="10.0"/>
      </rPr>
      <t xml:space="preserve">PDF </t>
    </r>
    <r>
      <rPr>
        <rFont val="Noto Sans CJK SC"/>
        <color theme="1"/>
        <sz val="10.0"/>
      </rPr>
      <t>파일 업로드 파일명 및 용량이 표시된다</t>
    </r>
  </si>
  <si>
    <t>TC-016</t>
  </si>
  <si>
    <t>파일 제거</t>
  </si>
  <si>
    <t>업로드된 파일의 제거 버튼 클릭</t>
  </si>
  <si>
    <t>선택한 파일이 업로드 목록에서 제거된다.</t>
  </si>
  <si>
    <t>분석 시작 전</t>
  </si>
  <si>
    <t>TC-017</t>
  </si>
  <si>
    <r>
      <rPr>
        <rFont val="Malgun Gothic"/>
        <color theme="1"/>
        <sz val="10.0"/>
      </rPr>
      <t xml:space="preserve">OCR </t>
    </r>
    <r>
      <rPr>
        <rFont val="Noto Sans CJK SC"/>
        <color theme="1"/>
        <sz val="10.0"/>
      </rPr>
      <t>진단</t>
    </r>
  </si>
  <si>
    <r>
      <rPr>
        <rFont val="Malgun Gothic"/>
        <color theme="1"/>
        <sz val="10.0"/>
      </rPr>
      <t xml:space="preserve">OCR </t>
    </r>
    <r>
      <rPr>
        <rFont val="Noto Sans CJK SC"/>
        <color theme="1"/>
        <sz val="10.0"/>
      </rPr>
      <t>진단 시작</t>
    </r>
  </si>
  <si>
    <t>서류 3종 업로드 → OCR 진단하기 클릭</t>
  </si>
  <si>
    <t>분석 시작 안내가 표시되고 분석 상태가 진행 중으로 변경된다.</t>
  </si>
  <si>
    <t>약 30초~2분</t>
  </si>
  <si>
    <t>TC-018</t>
  </si>
  <si>
    <r>
      <rPr>
        <rFont val="Malgun Gothic"/>
        <color theme="1"/>
        <sz val="10.0"/>
      </rPr>
      <t xml:space="preserve">OCR </t>
    </r>
    <r>
      <rPr>
        <rFont val="Noto Sans CJK SC"/>
        <color theme="1"/>
        <sz val="10.0"/>
      </rPr>
      <t>진행 중</t>
    </r>
  </si>
  <si>
    <t>타 페이지 이동 시, OCR 진단 진행사항 확인</t>
  </si>
  <si>
    <r>
      <rPr>
        <rFont val="Malgun Gothic"/>
        <color theme="1"/>
        <sz val="10.0"/>
      </rPr>
      <t xml:space="preserve">OCR </t>
    </r>
    <r>
      <rPr>
        <rFont val="Noto Sans CJK SC"/>
        <color theme="1"/>
        <sz val="10.0"/>
      </rPr>
      <t>중단 알림이 오지 않고 페이지 이동이 가능하다</t>
    </r>
  </si>
  <si>
    <t>TC-019</t>
  </si>
  <si>
    <t>ㄴ OCR 진단 시작 알람 터치</t>
  </si>
  <si>
    <r>
      <rPr>
        <rFont val="Malgun Gothic"/>
        <color theme="1"/>
        <sz val="10.0"/>
      </rPr>
      <t xml:space="preserve">OCR </t>
    </r>
    <r>
      <rPr>
        <rFont val="Noto Sans CJK SC"/>
        <color theme="1"/>
        <sz val="10.0"/>
      </rPr>
      <t>진행 안내 페이지로 이동한다</t>
    </r>
    <r>
      <rPr>
        <rFont val="Malgun Gothic"/>
        <color theme="1"/>
        <sz val="10.0"/>
      </rPr>
      <t>.</t>
    </r>
  </si>
  <si>
    <t>TC-020</t>
  </si>
  <si>
    <t>백그라운드 분석</t>
  </si>
  <si>
    <t>분석 시작 → 안내창 닫기 또는 AI 상담 화면으로 이동</t>
  </si>
  <si>
    <t>화면을 이동해도 분석이 계속 진행된다.</t>
  </si>
  <si>
    <t>TC-021</t>
  </si>
  <si>
    <t>보고서 항목</t>
  </si>
  <si>
    <t>분석 결과 확인</t>
  </si>
  <si>
    <t>분석 완료 → 결과 보기 또는 완료 알림 클릭</t>
  </si>
  <si>
    <t>해당 계약의 종합 리스크 보고서가 표시된다.</t>
  </si>
  <si>
    <t>TC-022</t>
  </si>
  <si>
    <t>보고서 상세 확인</t>
  </si>
  <si>
    <t>위험 보고서의 각 영역 확인</t>
  </si>
  <si>
    <t>안전 점수, 계약 조건, 위험 항목, 특약 분석, 권장 조치, 위치 정보가 표시된다.</t>
  </si>
  <si>
    <t>결과에 따라 내용 상이</t>
  </si>
  <si>
    <t>TC-023</t>
  </si>
  <si>
    <r>
      <rPr>
        <rFont val="Malgun Gothic"/>
        <color theme="1"/>
        <sz val="10.0"/>
      </rPr>
      <t xml:space="preserve">PDF </t>
    </r>
    <r>
      <rPr>
        <rFont val="Noto Sans CJK SC"/>
        <color theme="1"/>
        <sz val="10.0"/>
      </rPr>
      <t>다운로드</t>
    </r>
  </si>
  <si>
    <t>위험 보고서 → PDF 다운로드 클릭</t>
  </si>
  <si>
    <t>브라우저 인쇄/PDF 저장 화면이 열린다.</t>
  </si>
  <si>
    <t>TC-024</t>
  </si>
  <si>
    <t>이전 기록 진입</t>
  </si>
  <si>
    <t>분석 내역 조회</t>
  </si>
  <si>
    <t>상단 메뉴에서 위험 보고서 진입</t>
  </si>
  <si>
    <t>지금까지 수행한 분석 기록 목록이 표시된다.</t>
  </si>
  <si>
    <t>TC-025</t>
  </si>
  <si>
    <t>기타</t>
  </si>
  <si>
    <t>분석 제목 수정</t>
  </si>
  <si>
    <t>분석 목록 → 옵션 → 제목 수정 → 새 제목 입력 → 저장</t>
  </si>
  <si>
    <t>수정한 제목이 분석 목록에 반영된다.</t>
  </si>
  <si>
    <t>TC-027</t>
  </si>
  <si>
    <r>
      <rPr>
        <rFont val="Malgun Gothic"/>
        <color theme="1"/>
        <sz val="10.0"/>
      </rPr>
      <t xml:space="preserve">AI </t>
    </r>
    <r>
      <rPr>
        <rFont val="Noto Sans CJK SC"/>
        <color theme="1"/>
        <sz val="10.0"/>
      </rPr>
      <t>상담</t>
    </r>
  </si>
  <si>
    <t>상담 기능</t>
  </si>
  <si>
    <t>추천 질문</t>
  </si>
  <si>
    <r>
      <rPr>
        <rFont val="Malgun Gothic"/>
        <color theme="1"/>
        <sz val="10.0"/>
      </rPr>
      <t xml:space="preserve">AI </t>
    </r>
    <r>
      <rPr>
        <rFont val="Noto Sans CJK SC"/>
        <color theme="1"/>
        <sz val="10.0"/>
      </rPr>
      <t>상담 → 추천 주제 선택 → 추천 질문 클릭</t>
    </r>
  </si>
  <si>
    <t>새 대화가 생성되고 선택한 질문에 대한 AI 답변이 표시된다.</t>
  </si>
  <si>
    <t>TC-028</t>
  </si>
  <si>
    <t xml:space="preserve">직접 질문 </t>
  </si>
  <si>
    <t>채팅 입력창에 임대차 관련 질문 입력 → 전송</t>
  </si>
  <si>
    <t>질문과 AI 답변이 대화 화면에 표시된다.</t>
  </si>
  <si>
    <t>TC-029</t>
  </si>
  <si>
    <t>계약서 첨부 상담</t>
  </si>
  <si>
    <t>채팅 → 계약서 첨부 → 처리 완료 → 계약서 관련 질문 전송</t>
  </si>
  <si>
    <t>첨부 상태가 표시되고 계약서 내용을 참고한 답변이 제공된다.</t>
  </si>
  <si>
    <t>TC-031</t>
  </si>
  <si>
    <t>대화 관리</t>
  </si>
  <si>
    <t>대화 기록 조회</t>
  </si>
  <si>
    <r>
      <rPr>
        <rFont val="Malgun Gothic"/>
        <color theme="1"/>
        <sz val="10.0"/>
      </rPr>
      <t xml:space="preserve">AI </t>
    </r>
    <r>
      <rPr>
        <rFont val="Noto Sans CJK SC"/>
        <color theme="1"/>
        <sz val="10.0"/>
      </rPr>
      <t>상담 화면에서 대화 기록 확인 → 기존 대화 선택</t>
    </r>
  </si>
  <si>
    <t>기존 질문과 답변 내역이 표시된다.</t>
  </si>
  <si>
    <t>TC-032</t>
  </si>
  <si>
    <t>새 채팅</t>
  </si>
  <si>
    <r>
      <rPr>
        <rFont val="Malgun Gothic"/>
        <color theme="1"/>
        <sz val="10.0"/>
      </rPr>
      <t xml:space="preserve">AI </t>
    </r>
    <r>
      <rPr>
        <rFont val="Noto Sans CJK SC"/>
        <color theme="1"/>
        <sz val="10.0"/>
      </rPr>
      <t>상담 → 새 채팅 클릭</t>
    </r>
  </si>
  <si>
    <t>새로운 빈 상담 화면이 표시된다.</t>
  </si>
  <si>
    <t>TC-033</t>
  </si>
  <si>
    <t>대화 제목 수정</t>
  </si>
  <si>
    <t>대화 옵션 → 제목 수정 → 새 제목 입력 → 저장</t>
  </si>
  <si>
    <t>대화 기록에 수정된 제목이 표시된다.</t>
  </si>
  <si>
    <t>TC-034</t>
  </si>
  <si>
    <t>대화 삭제</t>
  </si>
  <si>
    <t>대화 옵션 → 삭제 → 확인</t>
  </si>
  <si>
    <t>선택한 대화가 대화 기록에서 삭제된다.</t>
  </si>
  <si>
    <t>복구 불가</t>
  </si>
  <si>
    <t>TC-035</t>
  </si>
  <si>
    <t>UI</t>
  </si>
  <si>
    <t>알림 목록 조회</t>
  </si>
  <si>
    <t>상단 알림 아이콘 또는 알림 메뉴 클릭</t>
  </si>
  <si>
    <t>수신한 알림 목록과 읽지 않은 알림 수가 표시된다.</t>
  </si>
  <si>
    <t>TC-036</t>
  </si>
  <si>
    <t>알림 상세 이동</t>
  </si>
  <si>
    <t>분석 완료 알림 클릭</t>
  </si>
  <si>
    <t>알림이 읽음 처리되고 해당 위험 보고서로 이동한다.</t>
  </si>
  <si>
    <t>TC-037</t>
  </si>
  <si>
    <t>기능</t>
  </si>
  <si>
    <t>알림 필터</t>
  </si>
  <si>
    <t>알림 화면 → 전체/읽지 않음 탭 전환</t>
  </si>
  <si>
    <t>선택한 조건에 맞는 알림이 표시된다.</t>
  </si>
  <si>
    <t>TC-038</t>
  </si>
  <si>
    <t>선택 읽음 처리</t>
  </si>
  <si>
    <t>알림 → 선택 모드 → 알림 선택 → 읽음 클릭</t>
  </si>
  <si>
    <t>선택한 알림이 읽음 처리되고 미확인 개수가 갱신된다.</t>
  </si>
  <si>
    <t>TC-039</t>
  </si>
  <si>
    <t>선택 삭제</t>
  </si>
  <si>
    <t>알림 → 선택 모드 → 알림 선택 → 삭제 → 확인</t>
  </si>
  <si>
    <t>선택한 알림이 목록에서 삭제된다.</t>
  </si>
  <si>
    <t>TC-040</t>
  </si>
  <si>
    <t>이동</t>
  </si>
  <si>
    <t>회원정보 조회</t>
  </si>
  <si>
    <t>마이페이지 진입</t>
  </si>
  <si>
    <t>닉네임, 이메일, 프로필과 이용 내역이 표시된다.</t>
  </si>
  <si>
    <t>TC-041</t>
  </si>
  <si>
    <t>프로필 변경</t>
  </si>
  <si>
    <t>프로필 사진</t>
  </si>
  <si>
    <t>프로필 사진 변경 클릭 → 이미지 선택</t>
  </si>
  <si>
    <t>선택한 프로필 사진이 반영된다.</t>
  </si>
  <si>
    <t>TC-042</t>
  </si>
  <si>
    <t>닉네임</t>
  </si>
  <si>
    <t>닉네임 변경 → 새 닉네임 입력 → 저장</t>
  </si>
  <si>
    <t>변경한 닉네임이 마이페이지에 반영된다.</t>
  </si>
  <si>
    <t>TC-043</t>
  </si>
  <si>
    <t>비밀번호 변경</t>
  </si>
  <si>
    <t>보안 설정 → 비밀번호 변경 → 새 비밀번호 입력 → 저장</t>
  </si>
  <si>
    <t>비밀번호가 변경된다.</t>
  </si>
  <si>
    <t>이메일 회원</t>
  </si>
  <si>
    <t>TC-044</t>
  </si>
  <si>
    <t>조회 기능</t>
  </si>
  <si>
    <t>분석 이력 조회</t>
  </si>
  <si>
    <t>마이페이지의 최근 진단 내역 확인 → 리포트 선택</t>
  </si>
  <si>
    <t>분석 내역이 표시되고 선택한 리포트로 이동한다.</t>
  </si>
  <si>
    <t>TC-045</t>
  </si>
  <si>
    <t>상담 이력 조회</t>
  </si>
  <si>
    <t>마이페이지의 최근 상담 내역 확인 → 상담 선택</t>
  </si>
  <si>
    <t>상담 내역이 표시되고 선택한 대화로 이동한다.</t>
  </si>
  <si>
    <t>TC-046</t>
  </si>
  <si>
    <t>알림 설정</t>
  </si>
  <si>
    <t>알림 설정에서 위험 보고서 알림 토글 변경</t>
  </si>
  <si>
    <t>선택한 알림 설정 상태가 반영된다.</t>
  </si>
  <si>
    <t>브라우저 권한 필요</t>
  </si>
  <si>
    <t>TC-048</t>
  </si>
  <si>
    <t>회원 탈퇴</t>
  </si>
  <si>
    <t>마이페이지 → 회원 탈퇴 → 동의 체크 → 회원 탈퇴 클릭</t>
  </si>
  <si>
    <t>계정과 관련 데이터가 삭제되고 로그아웃된다.</t>
  </si>
  <si>
    <t>전용 테스트 계정 사용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</si>
</sst>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"/>
  </numFmts>
  <fonts count="27">
    <font>
      <sz val="10.0"/>
      <color rgb="FF000000"/>
      <name val="Calibri"/>
      <scheme val="minor"/>
    </font>
    <font>
      <sz val="10.0"/>
      <color rgb="FF000000"/>
      <name val="Calibri"/>
    </font>
    <font>
      <b/>
      <sz val="16.0"/>
      <color rgb="FFFFFFFF"/>
      <name val="Malgun Gothic"/>
    </font>
    <font/>
    <font>
      <b/>
      <sz val="11.0"/>
      <color rgb="FF1F4E78"/>
      <name val="Malgun Gothic"/>
    </font>
    <font>
      <b/>
      <sz val="10.0"/>
      <color rgb="FF404040"/>
      <name val="Noto Sans"/>
    </font>
    <font>
      <sz val="10.0"/>
      <color theme="1"/>
      <name val="Malgun Gothic"/>
    </font>
    <font>
      <b/>
      <sz val="11.0"/>
      <color rgb="FF1F4E78"/>
      <name val="Noto Sans"/>
    </font>
    <font>
      <sz val="10.0"/>
      <color theme="1"/>
      <name val="Noto Sans"/>
    </font>
    <font>
      <sz val="10.0"/>
      <color rgb="FF000000"/>
      <name val="Malgun Gothic"/>
    </font>
    <font>
      <b/>
      <sz val="10.0"/>
      <color rgb="FF1F4E78"/>
      <name val="Noto Sans"/>
    </font>
    <font>
      <b/>
      <sz val="10.0"/>
      <color rgb="FF1F4E78"/>
      <name val="Malgun Gothic"/>
    </font>
    <font>
      <b/>
      <sz val="10.0"/>
      <color theme="1"/>
      <name val="Noto Sans"/>
    </font>
    <font>
      <b/>
      <sz val="10.0"/>
      <color theme="1"/>
      <name val="Malgun Gothic"/>
    </font>
    <font>
      <b/>
      <sz val="10.0"/>
      <color rgb="FF2E7D32"/>
      <name val="Malgun Gothic"/>
    </font>
    <font>
      <i/>
      <sz val="9.0"/>
      <color rgb="FF808080"/>
      <name val="Noto Sans"/>
    </font>
    <font>
      <sz val="10.0"/>
      <color rgb="FF2E7D32"/>
      <name val="Consolas"/>
    </font>
    <font>
      <b/>
      <sz val="10.0"/>
      <color rgb="FFC62828"/>
      <name val="Malgun Gothic"/>
    </font>
    <font>
      <sz val="10.0"/>
      <color rgb="FFC62828"/>
      <name val="Consolas"/>
    </font>
    <font>
      <b/>
      <sz val="10.0"/>
      <color rgb="FF757575"/>
      <name val="Malgun Gothic"/>
    </font>
    <font>
      <sz val="10.0"/>
      <color rgb="FF757575"/>
      <name val="Consolas"/>
    </font>
    <font>
      <b/>
      <sz val="10.0"/>
      <color rgb="FF1565C0"/>
      <name val="Malgun Gothic"/>
    </font>
    <font>
      <sz val="10.0"/>
      <color rgb="FF1565C0"/>
      <name val="Consolas"/>
    </font>
    <font>
      <b/>
      <sz val="10.0"/>
      <color rgb="FF000000"/>
      <name val="Noto Sans"/>
    </font>
    <font>
      <i/>
      <sz val="9.0"/>
      <color rgb="FF808080"/>
      <name val="Malgun Gothic"/>
    </font>
    <font>
      <b/>
      <sz val="10.0"/>
      <color rgb="FFFFFFFF"/>
      <name val="Noto Sans"/>
    </font>
    <font>
      <b/>
      <sz val="10.0"/>
      <color rgb="FFFFFFFF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BFBFBF"/>
      </top>
      <bottom style="thin">
        <color rgb="FFBFBFBF"/>
      </bottom>
    </border>
    <border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000000"/>
      </right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D9E2F3"/>
      </left>
      <right style="thin">
        <color rgb="FFD9E2F3"/>
      </right>
      <top style="thin">
        <color rgb="FFD9E2F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ill="1" applyFont="1">
      <alignment horizontal="left" shrinkToFit="0" vertical="center" wrapText="0"/>
    </xf>
    <xf borderId="6" fillId="3" fontId="7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2" fillId="6" fontId="7" numFmtId="0" xfId="0" applyAlignment="1" applyBorder="1" applyFill="1" applyFont="1">
      <alignment horizontal="left" shrinkToFit="0" vertical="center" wrapText="0"/>
    </xf>
    <xf borderId="5" fillId="6" fontId="8" numFmtId="0" xfId="0" applyAlignment="1" applyBorder="1" applyFont="1">
      <alignment horizontal="left" shrinkToFit="0" vertical="center" wrapText="1"/>
    </xf>
    <xf borderId="3" fillId="6" fontId="7" numFmtId="0" xfId="0" applyAlignment="1" applyBorder="1" applyFont="1">
      <alignment horizontal="left" shrinkToFit="0" vertical="center" wrapText="0"/>
    </xf>
    <xf borderId="11" fillId="4" fontId="5" numFmtId="0" xfId="0" applyAlignment="1" applyBorder="1" applyFont="1">
      <alignment horizontal="center" shrinkToFit="0" vertical="center" wrapText="0"/>
    </xf>
    <xf borderId="5" fillId="6" fontId="6" numFmtId="0" xfId="0" applyAlignment="1" applyBorder="1" applyFont="1">
      <alignment horizontal="left" shrinkToFit="0" vertical="center" wrapText="0"/>
    </xf>
    <xf borderId="12" fillId="5" fontId="9" numFmtId="164" xfId="0" applyAlignment="1" applyBorder="1" applyFont="1" applyNumberFormat="1">
      <alignment horizontal="left" shrinkToFit="0" vertical="center" wrapText="0"/>
    </xf>
    <xf borderId="13" fillId="0" fontId="3" numFmtId="0" xfId="0" applyBorder="1" applyFont="1"/>
    <xf borderId="14" fillId="0" fontId="1" numFmtId="0" xfId="0" applyAlignment="1" applyBorder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5" fillId="6" fontId="6" numFmtId="164" xfId="0" applyAlignment="1" applyBorder="1" applyFont="1" applyNumberFormat="1">
      <alignment horizontal="center" shrinkToFit="0" vertical="center" wrapText="0"/>
    </xf>
    <xf borderId="15" fillId="4" fontId="5" numFmtId="0" xfId="0" applyAlignment="1" applyBorder="1" applyFont="1">
      <alignment horizontal="center" shrinkToFit="0" vertical="center" wrapText="0"/>
    </xf>
    <xf borderId="4" fillId="6" fontId="6" numFmtId="0" xfId="0" applyAlignment="1" applyBorder="1" applyFont="1">
      <alignment horizontal="center" readingOrder="0" shrinkToFit="0" vertical="center" wrapText="0"/>
    </xf>
    <xf borderId="5" fillId="5" fontId="9" numFmtId="0" xfId="0" applyAlignment="1" applyBorder="1" applyFont="1">
      <alignment horizontal="left" readingOrder="0" shrinkToFit="0" vertical="center" wrapText="0"/>
    </xf>
    <xf borderId="16" fillId="4" fontId="5" numFmtId="0" xfId="0" applyAlignment="1" applyBorder="1" applyFont="1">
      <alignment horizontal="center" shrinkToFit="0" vertical="center" wrapText="0"/>
    </xf>
    <xf borderId="5" fillId="4" fontId="5" numFmtId="0" xfId="0" applyAlignment="1" applyBorder="1" applyFont="1">
      <alignment horizontal="center" shrinkToFit="0" vertical="center" wrapText="0"/>
    </xf>
    <xf borderId="17" fillId="5" fontId="9" numFmtId="0" xfId="0" applyAlignment="1" applyBorder="1" applyFont="1">
      <alignment horizontal="left" readingOrder="0" shrinkToFit="0" vertical="center" wrapText="0"/>
    </xf>
    <xf borderId="18" fillId="0" fontId="3" numFmtId="0" xfId="0" applyBorder="1" applyFont="1"/>
    <xf borderId="4" fillId="0" fontId="10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20" fillId="4" fontId="5" numFmtId="0" xfId="0" applyAlignment="1" applyBorder="1" applyFont="1">
      <alignment horizontal="center" shrinkToFit="0" vertical="center" wrapText="0"/>
    </xf>
    <xf borderId="21" fillId="4" fontId="5" numFmtId="0" xfId="0" applyAlignment="1" applyBorder="1" applyFont="1">
      <alignment horizontal="center" shrinkToFit="0" vertical="center" wrapText="0"/>
    </xf>
    <xf borderId="22" fillId="6" fontId="5" numFmtId="0" xfId="0" applyAlignment="1" applyBorder="1" applyFont="1">
      <alignment horizontal="center" shrinkToFit="0" vertical="center" wrapText="0"/>
    </xf>
    <xf borderId="13" fillId="6" fontId="5" numFmtId="0" xfId="0" applyAlignment="1" applyBorder="1" applyFont="1">
      <alignment horizontal="center" shrinkToFit="0" vertical="center" wrapText="0"/>
    </xf>
    <xf borderId="5" fillId="4" fontId="12" numFmtId="0" xfId="0" applyAlignment="1" applyBorder="1" applyFont="1">
      <alignment horizontal="center" shrinkToFit="0" vertical="center" wrapText="0"/>
    </xf>
    <xf borderId="4" fillId="4" fontId="13" numFmtId="0" xfId="0" applyAlignment="1" applyBorder="1" applyFont="1">
      <alignment horizontal="center" shrinkToFit="0" vertical="center" wrapText="0"/>
    </xf>
    <xf borderId="15" fillId="0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5" fillId="5" fontId="6" numFmtId="164" xfId="0" applyAlignment="1" applyBorder="1" applyFont="1" applyNumberFormat="1">
      <alignment horizontal="center" readingOrder="0" shrinkToFit="0" vertical="center" wrapText="0"/>
    </xf>
    <xf borderId="4" fillId="0" fontId="6" numFmtId="165" xfId="0" applyAlignment="1" applyBorder="1" applyFont="1" applyNumberFormat="1">
      <alignment horizontal="center" shrinkToFit="0" vertical="center" wrapText="0"/>
    </xf>
    <xf borderId="5" fillId="6" fontId="6" numFmtId="0" xfId="0" applyAlignment="1" applyBorder="1" applyFont="1">
      <alignment horizontal="center" shrinkToFit="0" vertical="center" wrapText="0"/>
    </xf>
    <xf borderId="23" fillId="0" fontId="16" numFmtId="0" xfId="0" applyAlignment="1" applyBorder="1" applyFont="1">
      <alignment horizontal="left" shrinkToFit="0" vertical="center" wrapText="0"/>
    </xf>
    <xf borderId="7" fillId="6" fontId="16" numFmtId="0" xfId="0" applyAlignment="1" applyBorder="1" applyFont="1">
      <alignment horizontal="left" shrinkToFit="0" vertical="center" wrapText="0"/>
    </xf>
    <xf borderId="9" fillId="6" fontId="16" numFmtId="0" xfId="0" applyAlignment="1" applyBorder="1" applyFont="1">
      <alignment horizontal="left" shrinkToFit="0" vertical="center" wrapText="0"/>
    </xf>
    <xf borderId="15" fillId="0" fontId="17" numFmtId="0" xfId="0" applyAlignment="1" applyBorder="1" applyFont="1">
      <alignment horizontal="center" shrinkToFit="0" vertical="center" wrapText="0"/>
    </xf>
    <xf borderId="4" fillId="0" fontId="14" numFmtId="0" xfId="0" applyAlignment="1" applyBorder="1" applyFont="1">
      <alignment horizontal="center" shrinkToFit="0" vertical="center" wrapText="0"/>
    </xf>
    <xf borderId="23" fillId="0" fontId="18" numFmtId="0" xfId="0" applyAlignment="1" applyBorder="1" applyFont="1">
      <alignment horizontal="left" shrinkToFit="0" vertical="center" wrapText="0"/>
    </xf>
    <xf borderId="7" fillId="6" fontId="18" numFmtId="0" xfId="0" applyAlignment="1" applyBorder="1" applyFont="1">
      <alignment horizontal="left" shrinkToFit="0" vertical="center" wrapText="0"/>
    </xf>
    <xf borderId="9" fillId="6" fontId="18" numFmtId="0" xfId="0" applyAlignment="1" applyBorder="1" applyFont="1">
      <alignment horizontal="left" shrinkToFit="0" vertical="center" wrapText="0"/>
    </xf>
    <xf borderId="15" fillId="0" fontId="19" numFmtId="0" xfId="0" applyAlignment="1" applyBorder="1" applyFont="1">
      <alignment horizontal="center" shrinkToFit="0" vertical="center" wrapText="0"/>
    </xf>
    <xf borderId="5" fillId="0" fontId="16" numFmtId="0" xfId="0" applyAlignment="1" applyBorder="1" applyFont="1">
      <alignment horizontal="left" shrinkToFit="0" vertical="center" wrapText="0"/>
    </xf>
    <xf borderId="4" fillId="0" fontId="17" numFmtId="0" xfId="0" applyAlignment="1" applyBorder="1" applyFont="1">
      <alignment horizontal="center" shrinkToFit="0" vertical="center" wrapText="0"/>
    </xf>
    <xf borderId="23" fillId="0" fontId="20" numFmtId="0" xfId="0" applyAlignment="1" applyBorder="1" applyFont="1">
      <alignment horizontal="left" shrinkToFit="0" vertical="center" wrapText="0"/>
    </xf>
    <xf borderId="7" fillId="6" fontId="20" numFmtId="0" xfId="0" applyAlignment="1" applyBorder="1" applyFont="1">
      <alignment horizontal="left" shrinkToFit="0" vertical="center" wrapText="0"/>
    </xf>
    <xf borderId="9" fillId="6" fontId="20" numFmtId="0" xfId="0" applyAlignment="1" applyBorder="1" applyFont="1">
      <alignment horizontal="left" shrinkToFit="0" vertical="center" wrapText="0"/>
    </xf>
    <xf borderId="5" fillId="0" fontId="18" numFmtId="0" xfId="0" applyAlignment="1" applyBorder="1" applyFont="1">
      <alignment horizontal="left" shrinkToFit="0" vertical="center" wrapText="0"/>
    </xf>
    <xf borderId="4" fillId="0" fontId="19" numFmtId="0" xfId="0" applyAlignment="1" applyBorder="1" applyFont="1">
      <alignment horizontal="center" shrinkToFit="0" vertical="center" wrapText="0"/>
    </xf>
    <xf borderId="15" fillId="0" fontId="21" numFmtId="0" xfId="0" applyAlignment="1" applyBorder="1" applyFont="1">
      <alignment horizontal="center" shrinkToFit="0" vertical="center" wrapText="0"/>
    </xf>
    <xf borderId="23" fillId="0" fontId="22" numFmtId="0" xfId="0" applyAlignment="1" applyBorder="1" applyFont="1">
      <alignment horizontal="left" shrinkToFit="0" vertical="center" wrapText="0"/>
    </xf>
    <xf borderId="7" fillId="6" fontId="22" numFmtId="0" xfId="0" applyAlignment="1" applyBorder="1" applyFont="1">
      <alignment horizontal="left" shrinkToFit="0" vertical="center" wrapText="0"/>
    </xf>
    <xf borderId="9" fillId="6" fontId="22" numFmtId="0" xfId="0" applyAlignment="1" applyBorder="1" applyFont="1">
      <alignment horizontal="left" shrinkToFit="0" vertical="center" wrapText="0"/>
    </xf>
    <xf borderId="5" fillId="0" fontId="20" numFmtId="0" xfId="0" applyAlignment="1" applyBorder="1" applyFont="1">
      <alignment horizontal="left" shrinkToFit="0" vertical="center" wrapText="0"/>
    </xf>
    <xf borderId="4" fillId="0" fontId="21" numFmtId="0" xfId="0" applyAlignment="1" applyBorder="1" applyFont="1">
      <alignment horizontal="center" shrinkToFit="0" vertical="center" wrapText="0"/>
    </xf>
    <xf borderId="16" fillId="4" fontId="23" numFmtId="0" xfId="0" applyAlignment="1" applyBorder="1" applyFont="1">
      <alignment horizontal="center" shrinkToFit="0" vertical="center" wrapText="0"/>
    </xf>
    <xf borderId="24" fillId="4" fontId="12" numFmtId="0" xfId="0" applyAlignment="1" applyBorder="1" applyFont="1">
      <alignment horizontal="center" shrinkToFit="0" vertical="center" wrapText="0"/>
    </xf>
    <xf borderId="5" fillId="0" fontId="22" numFmtId="0" xfId="0" applyAlignment="1" applyBorder="1" applyFont="1">
      <alignment horizontal="left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24" fillId="4" fontId="13" numFmtId="165" xfId="0" applyAlignment="1" applyBorder="1" applyFont="1" applyNumberFormat="1">
      <alignment horizontal="center" shrinkToFit="0" vertical="center" wrapText="0"/>
    </xf>
    <xf borderId="25" fillId="0" fontId="24" numFmtId="0" xfId="0" applyAlignment="1" applyBorder="1" applyFont="1">
      <alignment horizontal="left" shrinkToFit="0" vertical="center" wrapText="0"/>
    </xf>
    <xf borderId="4" fillId="4" fontId="13" numFmtId="165" xfId="0" applyAlignment="1" applyBorder="1" applyFont="1" applyNumberFormat="1">
      <alignment horizontal="center" shrinkToFit="0" vertical="center" wrapText="0"/>
    </xf>
    <xf borderId="7" fillId="6" fontId="24" numFmtId="0" xfId="0" applyAlignment="1" applyBorder="1" applyFont="1">
      <alignment horizontal="left" shrinkToFit="0" vertical="center" wrapText="0"/>
    </xf>
    <xf borderId="5" fillId="4" fontId="1" numFmtId="0" xfId="0" applyAlignment="1" applyBorder="1" applyFont="1">
      <alignment shrinkToFit="0" vertical="bottom" wrapText="0"/>
    </xf>
    <xf borderId="9" fillId="6" fontId="24" numFmtId="0" xfId="0" applyAlignment="1" applyBorder="1" applyFont="1">
      <alignment horizontal="left" shrinkToFit="0" vertical="center" wrapText="0"/>
    </xf>
    <xf borderId="1" fillId="3" fontId="4" numFmtId="0" xfId="0" applyAlignment="1" applyBorder="1" applyFont="1">
      <alignment horizontal="left" readingOrder="0" shrinkToFit="0" vertical="center" wrapText="0"/>
    </xf>
    <xf borderId="26" fillId="2" fontId="25" numFmtId="0" xfId="0" applyAlignment="1" applyBorder="1" applyFont="1">
      <alignment horizontal="center" shrinkToFit="0" vertical="center" wrapText="0"/>
    </xf>
    <xf borderId="5" fillId="6" fontId="6" numFmtId="0" xfId="0" applyAlignment="1" applyBorder="1" applyFont="1">
      <alignment horizontal="left" readingOrder="0" shrinkToFit="0" vertical="center" wrapText="1"/>
    </xf>
    <xf borderId="0" fillId="6" fontId="5" numFmtId="0" xfId="0" applyAlignment="1" applyFont="1">
      <alignment horizontal="center" shrinkToFit="0" vertical="center" wrapText="0"/>
    </xf>
    <xf borderId="26" fillId="2" fontId="26" numFmtId="0" xfId="0" applyAlignment="1" applyBorder="1" applyFont="1">
      <alignment horizontal="center" shrinkToFit="0" vertical="center" wrapText="0"/>
    </xf>
    <xf borderId="0" fillId="6" fontId="6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5" fillId="6" fontId="6" numFmtId="165" xfId="0" applyAlignment="1" applyBorder="1" applyFont="1" applyNumberFormat="1">
      <alignment horizontal="center" shrinkToFit="0" vertical="center" wrapText="0"/>
    </xf>
    <xf borderId="27" fillId="0" fontId="8" numFmtId="0" xfId="0" applyAlignment="1" applyBorder="1" applyFont="1">
      <alignment shrinkToFit="0" vertical="center" wrapText="1"/>
    </xf>
    <xf borderId="27" fillId="0" fontId="6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30" fillId="0" fontId="3" numFmtId="0" xfId="0" applyBorder="1" applyFont="1"/>
    <xf borderId="27" fillId="0" fontId="8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shrinkToFit="0" vertical="center" wrapText="1"/>
    </xf>
    <xf borderId="28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6.0"/>
    <col customWidth="1" min="3" max="3" width="50.29"/>
    <col customWidth="1" min="4" max="4" width="29.43"/>
    <col customWidth="1" min="5" max="5" width="12.71"/>
    <col customWidth="1" min="6" max="6" width="20.14"/>
    <col customWidth="1" min="7" max="26" width="8.71"/>
  </cols>
  <sheetData>
    <row r="1" ht="33.75" customHeight="1">
      <c r="A1" s="1"/>
      <c r="B1" s="2" t="s">
        <v>0</v>
      </c>
      <c r="C1" s="3"/>
      <c r="D1" s="3"/>
      <c r="E1" s="3"/>
      <c r="F1" s="4"/>
    </row>
    <row r="2" ht="6.0" customHeight="1">
      <c r="A2" s="1"/>
      <c r="B2" s="1"/>
      <c r="C2" s="1"/>
      <c r="D2" s="1"/>
      <c r="E2" s="1"/>
      <c r="F2" s="1"/>
    </row>
    <row r="3" ht="18.75" customHeight="1">
      <c r="A3" s="1"/>
      <c r="B3" s="5" t="s">
        <v>2</v>
      </c>
      <c r="C3" s="3"/>
      <c r="D3" s="3"/>
      <c r="E3" s="3"/>
      <c r="F3" s="4"/>
    </row>
    <row r="4" ht="18.75" customHeight="1">
      <c r="A4" s="1"/>
      <c r="B4" s="6" t="s">
        <v>3</v>
      </c>
      <c r="C4" s="7" t="s">
        <v>4</v>
      </c>
      <c r="D4" s="9"/>
      <c r="E4" s="9"/>
      <c r="F4" s="11"/>
    </row>
    <row r="5" ht="18.75" customHeight="1">
      <c r="A5" s="1"/>
      <c r="B5" s="6" t="s">
        <v>6</v>
      </c>
      <c r="C5" s="14" t="s">
        <v>7</v>
      </c>
      <c r="D5" s="9"/>
      <c r="E5" s="9"/>
      <c r="F5" s="11"/>
    </row>
    <row r="6" ht="18.75" customHeight="1">
      <c r="A6" s="1"/>
      <c r="B6" s="6" t="s">
        <v>8</v>
      </c>
      <c r="C6" s="17" t="s">
        <v>9</v>
      </c>
      <c r="D6" s="9"/>
      <c r="E6" s="9"/>
      <c r="F6" s="11"/>
    </row>
    <row r="7" ht="18.75" customHeight="1">
      <c r="A7" s="1"/>
      <c r="B7" s="6" t="s">
        <v>10</v>
      </c>
      <c r="C7" s="22">
        <f>IF(TC_DEV!C4="","",TC_DEV!C4)</f>
        <v>46234</v>
      </c>
      <c r="D7" s="11"/>
      <c r="E7" s="6" t="s">
        <v>11</v>
      </c>
      <c r="F7" s="24" t="s">
        <v>12</v>
      </c>
    </row>
    <row r="8" ht="18.75" customHeight="1">
      <c r="A8" s="1"/>
      <c r="B8" s="1"/>
      <c r="C8" s="1"/>
      <c r="D8" s="1"/>
      <c r="E8" s="1"/>
      <c r="F8" s="1"/>
    </row>
    <row r="9" ht="18.75" customHeight="1">
      <c r="A9" s="1"/>
      <c r="B9" s="5" t="s">
        <v>13</v>
      </c>
      <c r="C9" s="3"/>
      <c r="D9" s="3"/>
      <c r="E9" s="3"/>
      <c r="F9" s="4"/>
    </row>
    <row r="10" ht="18.75" customHeight="1">
      <c r="A10" s="1"/>
      <c r="B10" s="6" t="s">
        <v>14</v>
      </c>
      <c r="C10" s="27" t="s">
        <v>16</v>
      </c>
      <c r="D10" s="9"/>
      <c r="E10" s="11"/>
      <c r="F10" s="6" t="s">
        <v>17</v>
      </c>
    </row>
    <row r="11" ht="18.75" customHeight="1">
      <c r="A11" s="1"/>
      <c r="B11" s="30" t="s">
        <v>18</v>
      </c>
      <c r="C11" s="14" t="s">
        <v>19</v>
      </c>
      <c r="D11" s="9"/>
      <c r="E11" s="11"/>
      <c r="F11" s="32">
        <v>10.0</v>
      </c>
    </row>
    <row r="12" ht="18.75" customHeight="1">
      <c r="A12" s="1"/>
      <c r="B12" s="30" t="s">
        <v>20</v>
      </c>
      <c r="C12" s="14" t="s">
        <v>21</v>
      </c>
      <c r="D12" s="9"/>
      <c r="E12" s="11"/>
      <c r="F12" s="32">
        <v>3.0</v>
      </c>
    </row>
    <row r="13" ht="18.75" customHeight="1">
      <c r="A13" s="1"/>
      <c r="B13" s="30" t="s">
        <v>22</v>
      </c>
      <c r="C13" s="14" t="s">
        <v>23</v>
      </c>
      <c r="D13" s="9"/>
      <c r="E13" s="11"/>
      <c r="F13" s="32">
        <v>9.0</v>
      </c>
    </row>
    <row r="14" ht="18.75" customHeight="1">
      <c r="A14" s="1"/>
      <c r="B14" s="30" t="s">
        <v>25</v>
      </c>
      <c r="C14" s="14" t="s">
        <v>26</v>
      </c>
      <c r="D14" s="9"/>
      <c r="E14" s="11"/>
      <c r="F14" s="32">
        <v>5.0</v>
      </c>
    </row>
    <row r="15" ht="18.75" customHeight="1">
      <c r="A15" s="1"/>
      <c r="B15" s="33" t="s">
        <v>27</v>
      </c>
      <c r="C15" s="14" t="s">
        <v>28</v>
      </c>
      <c r="D15" s="9"/>
      <c r="E15" s="11"/>
      <c r="F15" s="32">
        <v>7.0</v>
      </c>
    </row>
    <row r="16" ht="18.75" customHeight="1">
      <c r="A16" s="1"/>
      <c r="B16" s="30" t="s">
        <v>29</v>
      </c>
      <c r="C16" s="14" t="s">
        <v>31</v>
      </c>
      <c r="D16" s="9"/>
      <c r="E16" s="11"/>
      <c r="F16" s="32">
        <v>5.0</v>
      </c>
    </row>
    <row r="17" ht="18.75" customHeight="1">
      <c r="A17" s="1"/>
      <c r="B17" s="30" t="s">
        <v>34</v>
      </c>
      <c r="C17" s="14" t="s">
        <v>35</v>
      </c>
      <c r="D17" s="9"/>
      <c r="E17" s="11"/>
      <c r="F17" s="32">
        <v>7.0</v>
      </c>
    </row>
    <row r="18" ht="18.75" customHeight="1">
      <c r="A18" s="1"/>
      <c r="B18" s="38" t="s">
        <v>37</v>
      </c>
      <c r="C18" s="9"/>
      <c r="D18" s="9"/>
      <c r="E18" s="11"/>
      <c r="F18" s="39">
        <f>SUM(F11:F17)</f>
        <v>46</v>
      </c>
    </row>
    <row r="19" ht="18.75" customHeight="1">
      <c r="A19" s="1"/>
      <c r="B19" s="41" t="s">
        <v>39</v>
      </c>
    </row>
    <row r="20" ht="18.75" customHeight="1">
      <c r="A20" s="1"/>
      <c r="B20" s="1"/>
      <c r="C20" s="1"/>
      <c r="D20" s="1"/>
      <c r="E20" s="1"/>
      <c r="F20" s="1"/>
    </row>
    <row r="21" ht="18.75" customHeight="1">
      <c r="A21" s="1"/>
      <c r="B21" s="5" t="s">
        <v>40</v>
      </c>
      <c r="C21" s="3"/>
      <c r="D21" s="3"/>
      <c r="E21" s="3"/>
      <c r="F21" s="4"/>
    </row>
    <row r="22" ht="18.75" customHeight="1">
      <c r="A22" s="1"/>
      <c r="B22" s="6" t="s">
        <v>41</v>
      </c>
      <c r="C22" s="42">
        <v>46233.0</v>
      </c>
      <c r="D22" s="9"/>
      <c r="E22" s="9"/>
      <c r="F22" s="11"/>
    </row>
    <row r="23" ht="18.75" customHeight="1">
      <c r="A23" s="1"/>
      <c r="B23" s="6" t="s">
        <v>42</v>
      </c>
      <c r="C23" s="42">
        <v>46234.0</v>
      </c>
      <c r="D23" s="9"/>
      <c r="E23" s="9"/>
      <c r="F23" s="11"/>
    </row>
    <row r="24" ht="18.75" customHeight="1">
      <c r="A24" s="1"/>
      <c r="B24" s="6" t="s">
        <v>43</v>
      </c>
      <c r="C24" s="44" t="str">
        <f>IFERROR(C23-C22&amp;"일","")</f>
        <v>1일</v>
      </c>
      <c r="D24" s="9"/>
      <c r="E24" s="9"/>
      <c r="F24" s="11"/>
    </row>
    <row r="25" ht="18.75" customHeight="1">
      <c r="A25" s="1"/>
      <c r="B25" s="1"/>
      <c r="C25" s="1"/>
      <c r="D25" s="1"/>
      <c r="E25" s="1"/>
      <c r="F25" s="1"/>
    </row>
    <row r="26" ht="18.75" customHeight="1">
      <c r="A26" s="1"/>
      <c r="B26" s="5" t="s">
        <v>44</v>
      </c>
      <c r="C26" s="3"/>
      <c r="D26" s="3"/>
      <c r="E26" s="3"/>
      <c r="F26" s="4"/>
    </row>
    <row r="27" ht="18.75" customHeight="1">
      <c r="A27" s="1"/>
      <c r="B27" s="6" t="s">
        <v>30</v>
      </c>
      <c r="C27" s="6" t="s">
        <v>32</v>
      </c>
      <c r="D27" s="6" t="s">
        <v>33</v>
      </c>
      <c r="E27" s="27" t="s">
        <v>36</v>
      </c>
      <c r="F27" s="11"/>
    </row>
    <row r="28" ht="18.75" customHeight="1">
      <c r="A28" s="1"/>
      <c r="B28" s="49" t="s">
        <v>38</v>
      </c>
      <c r="C28" s="32">
        <f>TC_DEV!C9</f>
        <v>46</v>
      </c>
      <c r="D28" s="43">
        <f>TC_DEV!D9</f>
        <v>1</v>
      </c>
      <c r="E28" s="54" t="str">
        <f>IFERROR(REPT("█",ROUND(TC_DEV!D9*30,0)),"")</f>
        <v>██████████████████████████████</v>
      </c>
      <c r="F28" s="11"/>
    </row>
    <row r="29" ht="18.75" customHeight="1">
      <c r="A29" s="1"/>
      <c r="B29" s="55" t="s">
        <v>45</v>
      </c>
      <c r="C29" s="32">
        <f>TC_DEV!C10</f>
        <v>0</v>
      </c>
      <c r="D29" s="43">
        <f>TC_DEV!D10</f>
        <v>0</v>
      </c>
      <c r="E29" s="59" t="str">
        <f>IFERROR(REPT("█",ROUND(TC_DEV!D10*30,0)),"")</f>
        <v/>
      </c>
      <c r="F29" s="11"/>
    </row>
    <row r="30" ht="18.75" customHeight="1">
      <c r="A30" s="1"/>
      <c r="B30" s="60" t="s">
        <v>46</v>
      </c>
      <c r="C30" s="32">
        <f>TC_DEV!C11</f>
        <v>0</v>
      </c>
      <c r="D30" s="43">
        <f>TC_DEV!D11</f>
        <v>0</v>
      </c>
      <c r="E30" s="65" t="str">
        <f>IFERROR(REPT("█",ROUND(TC_DEV!D11*30,0)),"")</f>
        <v/>
      </c>
      <c r="F30" s="11"/>
    </row>
    <row r="31" ht="18.75" customHeight="1">
      <c r="A31" s="1"/>
      <c r="B31" s="66" t="s">
        <v>47</v>
      </c>
      <c r="C31" s="32">
        <f>TC_DEV!C12</f>
        <v>0</v>
      </c>
      <c r="D31" s="43">
        <f>TC_DEV!D12</f>
        <v>0</v>
      </c>
      <c r="E31" s="69" t="str">
        <f>IFERROR(REPT("█",ROUND(TC_DEV!D12*30,0)),"")</f>
        <v/>
      </c>
      <c r="F31" s="11"/>
    </row>
    <row r="32" ht="18.75" customHeight="1">
      <c r="A32" s="1"/>
      <c r="B32" s="70" t="s">
        <v>37</v>
      </c>
      <c r="C32" s="70">
        <f>TC_DEV!C13</f>
        <v>46</v>
      </c>
      <c r="D32" s="73">
        <f>TC_DEV!D13</f>
        <v>1</v>
      </c>
      <c r="E32" s="75"/>
      <c r="F32" s="11"/>
    </row>
    <row r="33" ht="18.75" customHeight="1">
      <c r="A33" s="1"/>
      <c r="B33" s="1"/>
      <c r="C33" s="1"/>
      <c r="D33" s="1"/>
      <c r="E33" s="1"/>
      <c r="F33" s="1"/>
    </row>
    <row r="34" ht="18.75" customHeight="1">
      <c r="A34" s="1"/>
      <c r="B34" s="77" t="s">
        <v>48</v>
      </c>
      <c r="C34" s="3"/>
      <c r="D34" s="3"/>
      <c r="E34" s="3"/>
      <c r="F34" s="4"/>
    </row>
    <row r="35" ht="143.25" customHeight="1">
      <c r="A35" s="1"/>
      <c r="B35" s="79" t="s">
        <v>49</v>
      </c>
      <c r="C35" s="9"/>
      <c r="D35" s="9"/>
      <c r="E35" s="9"/>
      <c r="F35" s="11"/>
    </row>
    <row r="36" ht="18.75" customHeight="1">
      <c r="A36" s="1"/>
      <c r="B36" s="80"/>
      <c r="C36" s="82"/>
      <c r="D36" s="82"/>
      <c r="E36" s="82"/>
      <c r="F36" s="82"/>
    </row>
    <row r="37" ht="18.75" customHeight="1">
      <c r="A37" s="1"/>
      <c r="B37" s="6" t="s">
        <v>57</v>
      </c>
      <c r="C37" s="86">
        <f>IFERROR((TC_DEV!C9+TC_DEV!C10)/TC_DEV!C13,0)</f>
        <v>1</v>
      </c>
      <c r="D37" s="9"/>
      <c r="E37" s="9"/>
      <c r="F37" s="11"/>
    </row>
    <row r="38" ht="18.75" customHeight="1">
      <c r="A38" s="1"/>
      <c r="B38" s="6" t="s">
        <v>62</v>
      </c>
      <c r="C38" s="86">
        <f>IFERROR(TC_DEV!C9/(TC_DEV!C9+TC_DEV!C10),0)</f>
        <v>1</v>
      </c>
      <c r="D38" s="9"/>
      <c r="E38" s="9"/>
      <c r="F38" s="11"/>
    </row>
    <row r="39" ht="15.0" customHeight="1">
      <c r="A39" s="1"/>
      <c r="B39" s="41" t="s">
        <v>64</v>
      </c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  <row r="1001" ht="15.75" customHeight="1">
      <c r="A1001" s="1"/>
      <c r="B1001" s="1"/>
      <c r="C1001" s="1"/>
      <c r="D1001" s="1"/>
      <c r="E1001" s="1"/>
      <c r="F1001" s="1"/>
    </row>
    <row r="1002" ht="15.75" customHeight="1">
      <c r="A1002" s="1"/>
      <c r="B1002" s="1"/>
      <c r="C1002" s="1"/>
      <c r="D1002" s="1"/>
      <c r="E1002" s="1"/>
      <c r="F1002" s="1"/>
    </row>
    <row r="1003" ht="15.75" customHeight="1">
      <c r="A1003" s="1"/>
      <c r="B1003" s="1"/>
      <c r="C1003" s="1"/>
      <c r="D1003" s="1"/>
      <c r="E1003" s="1"/>
      <c r="F1003" s="1"/>
    </row>
  </sheetData>
  <mergeCells count="33">
    <mergeCell ref="B1:F1"/>
    <mergeCell ref="B3:F3"/>
    <mergeCell ref="C4:F4"/>
    <mergeCell ref="C5:F5"/>
    <mergeCell ref="C6:F6"/>
    <mergeCell ref="C7:D7"/>
    <mergeCell ref="B9:F9"/>
    <mergeCell ref="C10:E10"/>
    <mergeCell ref="C11:E11"/>
    <mergeCell ref="C12:E12"/>
    <mergeCell ref="C13:E13"/>
    <mergeCell ref="C14:E14"/>
    <mergeCell ref="C15:E15"/>
    <mergeCell ref="C16:E16"/>
    <mergeCell ref="C17:E17"/>
    <mergeCell ref="B18:E18"/>
    <mergeCell ref="B19:F19"/>
    <mergeCell ref="B21:F21"/>
    <mergeCell ref="C22:F22"/>
    <mergeCell ref="C23:F23"/>
    <mergeCell ref="C24:F24"/>
    <mergeCell ref="C37:F37"/>
    <mergeCell ref="C38:F38"/>
    <mergeCell ref="B39:F39"/>
    <mergeCell ref="B26:F26"/>
    <mergeCell ref="E27:F27"/>
    <mergeCell ref="E28:F28"/>
    <mergeCell ref="E29:F29"/>
    <mergeCell ref="E30:F30"/>
    <mergeCell ref="E31:F31"/>
    <mergeCell ref="E32:F32"/>
    <mergeCell ref="B34:F34"/>
    <mergeCell ref="B35:F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4.43" defaultRowHeight="15.0"/>
  <cols>
    <col customWidth="1" min="1" max="1" width="3.43"/>
    <col customWidth="1" min="2" max="2" width="14.0"/>
    <col customWidth="1" min="3" max="3" width="15.0"/>
    <col customWidth="1" min="4" max="5" width="17.86"/>
    <col customWidth="1" min="6" max="6" width="75.14"/>
    <col customWidth="1" min="7" max="7" width="62.14"/>
    <col customWidth="1" min="8" max="8" width="14.0"/>
    <col customWidth="1" min="9" max="9" width="28.0"/>
  </cols>
  <sheetData>
    <row r="1" ht="33.75" customHeight="1">
      <c r="A1" s="1"/>
      <c r="B1" s="2" t="s">
        <v>1</v>
      </c>
      <c r="C1" s="3"/>
      <c r="D1" s="3"/>
      <c r="E1" s="3"/>
      <c r="F1" s="3"/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8" t="s">
        <v>5</v>
      </c>
      <c r="C3" s="10"/>
      <c r="D3" s="10"/>
      <c r="E3" s="12"/>
      <c r="F3" s="13"/>
      <c r="G3" s="13"/>
      <c r="H3" s="13"/>
      <c r="I3" s="1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6" t="s">
        <v>10</v>
      </c>
      <c r="C4" s="18">
        <v>46234.0</v>
      </c>
      <c r="D4" s="19"/>
      <c r="E4" s="20"/>
      <c r="F4" s="21"/>
      <c r="G4" s="21"/>
      <c r="H4" s="21"/>
      <c r="I4" s="2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3" t="s">
        <v>11</v>
      </c>
      <c r="C5" s="25" t="s">
        <v>12</v>
      </c>
      <c r="D5" s="11"/>
      <c r="E5" s="20"/>
      <c r="F5" s="21"/>
      <c r="G5" s="21"/>
      <c r="H5" s="21"/>
      <c r="I5" s="2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26" t="s">
        <v>15</v>
      </c>
      <c r="C6" s="28" t="s">
        <v>12</v>
      </c>
      <c r="D6" s="29"/>
      <c r="E6" s="31"/>
      <c r="F6" s="21"/>
      <c r="G6" s="21"/>
      <c r="H6" s="21"/>
      <c r="I6" s="2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8" t="s">
        <v>24</v>
      </c>
      <c r="C7" s="10"/>
      <c r="D7" s="10"/>
      <c r="E7" s="12"/>
      <c r="F7" s="13"/>
      <c r="G7" s="13"/>
      <c r="H7" s="13"/>
      <c r="I7" s="1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6" t="s">
        <v>30</v>
      </c>
      <c r="C8" s="34" t="s">
        <v>32</v>
      </c>
      <c r="D8" s="34" t="s">
        <v>33</v>
      </c>
      <c r="E8" s="35" t="s">
        <v>36</v>
      </c>
      <c r="F8" s="36"/>
      <c r="G8" s="36"/>
      <c r="H8" s="36"/>
      <c r="I8" s="3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40" t="s">
        <v>38</v>
      </c>
      <c r="C9" s="32">
        <f>COUNTIF(H17:H62,"Pass")</f>
        <v>46</v>
      </c>
      <c r="D9" s="43">
        <f t="shared" ref="D9:D13" si="1">IFERROR(C9/$C$13,0)</f>
        <v>1</v>
      </c>
      <c r="E9" s="45" t="str">
        <f t="shared" ref="E9:E12" si="2">IFERROR(REPT("█",ROUND(C9/$C$13*15,0)),"")</f>
        <v>███████████████</v>
      </c>
      <c r="F9" s="46"/>
      <c r="G9" s="46"/>
      <c r="H9" s="46"/>
      <c r="I9" s="4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48" t="s">
        <v>45</v>
      </c>
      <c r="C10" s="32">
        <f>COUNTIF(H17:H62,"Fail")</f>
        <v>0</v>
      </c>
      <c r="D10" s="43">
        <f t="shared" si="1"/>
        <v>0</v>
      </c>
      <c r="E10" s="50" t="str">
        <f t="shared" si="2"/>
        <v/>
      </c>
      <c r="F10" s="51"/>
      <c r="G10" s="51"/>
      <c r="H10" s="51"/>
      <c r="I10" s="5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53" t="s">
        <v>46</v>
      </c>
      <c r="C11" s="32">
        <f>COUNTIF(H17:H62,"Not Test")</f>
        <v>0</v>
      </c>
      <c r="D11" s="43">
        <f t="shared" si="1"/>
        <v>0</v>
      </c>
      <c r="E11" s="56" t="str">
        <f t="shared" si="2"/>
        <v/>
      </c>
      <c r="F11" s="57"/>
      <c r="G11" s="57"/>
      <c r="H11" s="57"/>
      <c r="I11" s="5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61" t="s">
        <v>47</v>
      </c>
      <c r="C12" s="32">
        <f>COUNTIF(H17:H62,"N/A")</f>
        <v>0</v>
      </c>
      <c r="D12" s="43">
        <f t="shared" si="1"/>
        <v>0</v>
      </c>
      <c r="E12" s="62" t="str">
        <f t="shared" si="2"/>
        <v/>
      </c>
      <c r="F12" s="63"/>
      <c r="G12" s="63"/>
      <c r="H12" s="63"/>
      <c r="I12" s="6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67" t="s">
        <v>37</v>
      </c>
      <c r="C13" s="68">
        <f>COUNTA(H17:H62)</f>
        <v>46</v>
      </c>
      <c r="D13" s="71">
        <f t="shared" si="1"/>
        <v>1</v>
      </c>
      <c r="E13" s="72"/>
      <c r="F13" s="74"/>
      <c r="G13" s="74"/>
      <c r="H13" s="74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78" t="s">
        <v>50</v>
      </c>
      <c r="C16" s="78" t="s">
        <v>14</v>
      </c>
      <c r="D16" s="78" t="s">
        <v>51</v>
      </c>
      <c r="E16" s="78" t="s">
        <v>52</v>
      </c>
      <c r="F16" s="78" t="s">
        <v>53</v>
      </c>
      <c r="G16" s="78" t="s">
        <v>54</v>
      </c>
      <c r="H16" s="81" t="s">
        <v>55</v>
      </c>
      <c r="I16" s="78" t="s">
        <v>56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83"/>
      <c r="B17" s="84" t="s">
        <v>58</v>
      </c>
      <c r="C17" s="85" t="s">
        <v>18</v>
      </c>
      <c r="D17" s="85" t="s">
        <v>59</v>
      </c>
      <c r="E17" s="85" t="s">
        <v>60</v>
      </c>
      <c r="F17" s="87" t="s">
        <v>61</v>
      </c>
      <c r="G17" s="87" t="s">
        <v>63</v>
      </c>
      <c r="H17" s="88" t="s">
        <v>38</v>
      </c>
      <c r="I17" s="8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83"/>
      <c r="B18" s="84" t="s">
        <v>65</v>
      </c>
      <c r="C18" s="89"/>
      <c r="D18" s="89"/>
      <c r="E18" s="90"/>
      <c r="F18" s="87" t="s">
        <v>66</v>
      </c>
      <c r="G18" s="87" t="s">
        <v>67</v>
      </c>
      <c r="H18" s="88" t="s">
        <v>38</v>
      </c>
      <c r="I18" s="8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83"/>
      <c r="B19" s="84" t="s">
        <v>68</v>
      </c>
      <c r="C19" s="89"/>
      <c r="D19" s="89"/>
      <c r="E19" s="85" t="s">
        <v>69</v>
      </c>
      <c r="F19" s="87" t="s">
        <v>70</v>
      </c>
      <c r="G19" s="87" t="s">
        <v>71</v>
      </c>
      <c r="H19" s="88" t="s">
        <v>38</v>
      </c>
      <c r="I19" s="87" t="s">
        <v>72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83"/>
      <c r="B20" s="84" t="s">
        <v>73</v>
      </c>
      <c r="C20" s="89"/>
      <c r="D20" s="90"/>
      <c r="E20" s="90"/>
      <c r="F20" s="87" t="s">
        <v>66</v>
      </c>
      <c r="G20" s="87" t="s">
        <v>67</v>
      </c>
      <c r="H20" s="88" t="s">
        <v>38</v>
      </c>
      <c r="I20" s="8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83"/>
      <c r="B21" s="84" t="s">
        <v>74</v>
      </c>
      <c r="C21" s="89"/>
      <c r="D21" s="85" t="s">
        <v>75</v>
      </c>
      <c r="E21" s="91" t="s">
        <v>60</v>
      </c>
      <c r="F21" s="87" t="s">
        <v>76</v>
      </c>
      <c r="G21" s="87" t="s">
        <v>77</v>
      </c>
      <c r="H21" s="88" t="s">
        <v>38</v>
      </c>
      <c r="I21" s="8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83"/>
      <c r="B22" s="84" t="s">
        <v>78</v>
      </c>
      <c r="C22" s="89"/>
      <c r="D22" s="89"/>
      <c r="E22" s="91" t="s">
        <v>69</v>
      </c>
      <c r="F22" s="87" t="s">
        <v>79</v>
      </c>
      <c r="G22" s="87" t="s">
        <v>77</v>
      </c>
      <c r="H22" s="88" t="s">
        <v>38</v>
      </c>
      <c r="I22" s="87" t="s">
        <v>72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83"/>
      <c r="B23" s="84" t="s">
        <v>80</v>
      </c>
      <c r="C23" s="89"/>
      <c r="D23" s="89"/>
      <c r="E23" s="85" t="s">
        <v>81</v>
      </c>
      <c r="F23" s="87" t="s">
        <v>82</v>
      </c>
      <c r="G23" s="87" t="s">
        <v>83</v>
      </c>
      <c r="H23" s="88" t="s">
        <v>38</v>
      </c>
      <c r="I23" s="8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83"/>
      <c r="B24" s="84" t="s">
        <v>80</v>
      </c>
      <c r="C24" s="89"/>
      <c r="D24" s="89"/>
      <c r="E24" s="90"/>
      <c r="F24" s="87" t="s">
        <v>84</v>
      </c>
      <c r="G24" s="87" t="s">
        <v>83</v>
      </c>
      <c r="H24" s="88" t="s">
        <v>38</v>
      </c>
      <c r="I24" s="8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83"/>
      <c r="B25" s="84" t="s">
        <v>85</v>
      </c>
      <c r="C25" s="90"/>
      <c r="D25" s="90"/>
      <c r="E25" s="91" t="s">
        <v>86</v>
      </c>
      <c r="F25" s="87" t="s">
        <v>87</v>
      </c>
      <c r="G25" s="87" t="s">
        <v>88</v>
      </c>
      <c r="H25" s="88" t="s">
        <v>38</v>
      </c>
      <c r="I25" s="8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83"/>
      <c r="B26" s="84" t="s">
        <v>89</v>
      </c>
      <c r="C26" s="85" t="s">
        <v>20</v>
      </c>
      <c r="D26" s="85" t="s">
        <v>21</v>
      </c>
      <c r="E26" s="91" t="s">
        <v>90</v>
      </c>
      <c r="F26" s="87" t="s">
        <v>91</v>
      </c>
      <c r="G26" s="87" t="s">
        <v>92</v>
      </c>
      <c r="H26" s="88" t="s">
        <v>38</v>
      </c>
      <c r="I26" s="8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83"/>
      <c r="B27" s="84" t="s">
        <v>93</v>
      </c>
      <c r="C27" s="89"/>
      <c r="D27" s="89"/>
      <c r="E27" s="84" t="s">
        <v>94</v>
      </c>
      <c r="F27" s="87" t="s">
        <v>95</v>
      </c>
      <c r="G27" s="87" t="s">
        <v>92</v>
      </c>
      <c r="H27" s="88" t="s">
        <v>38</v>
      </c>
      <c r="I27" s="8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83"/>
      <c r="B28" s="84" t="s">
        <v>96</v>
      </c>
      <c r="C28" s="90"/>
      <c r="D28" s="90"/>
      <c r="E28" s="91" t="s">
        <v>34</v>
      </c>
      <c r="F28" s="87" t="s">
        <v>97</v>
      </c>
      <c r="G28" s="87" t="s">
        <v>92</v>
      </c>
      <c r="H28" s="88" t="s">
        <v>38</v>
      </c>
      <c r="I28" s="8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83"/>
      <c r="B29" s="84" t="s">
        <v>98</v>
      </c>
      <c r="C29" s="85" t="s">
        <v>22</v>
      </c>
      <c r="D29" s="85" t="s">
        <v>99</v>
      </c>
      <c r="E29" s="91" t="s">
        <v>100</v>
      </c>
      <c r="F29" s="87" t="s">
        <v>101</v>
      </c>
      <c r="G29" s="87" t="s">
        <v>102</v>
      </c>
      <c r="H29" s="88" t="s">
        <v>38</v>
      </c>
      <c r="I29" s="92" t="s">
        <v>103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83"/>
      <c r="B30" s="84" t="s">
        <v>104</v>
      </c>
      <c r="C30" s="89"/>
      <c r="D30" s="89"/>
      <c r="E30" s="91" t="s">
        <v>105</v>
      </c>
      <c r="F30" s="87" t="s">
        <v>106</v>
      </c>
      <c r="G30" s="87" t="s">
        <v>107</v>
      </c>
      <c r="H30" s="88" t="s">
        <v>38</v>
      </c>
      <c r="I30" s="87" t="s">
        <v>108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83"/>
      <c r="B31" s="84" t="s">
        <v>109</v>
      </c>
      <c r="C31" s="89"/>
      <c r="D31" s="89"/>
      <c r="E31" s="85" t="s">
        <v>110</v>
      </c>
      <c r="F31" s="92" t="s">
        <v>111</v>
      </c>
      <c r="G31" s="92" t="s">
        <v>112</v>
      </c>
      <c r="H31" s="88" t="s">
        <v>38</v>
      </c>
      <c r="I31" s="9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83"/>
      <c r="B32" s="84" t="s">
        <v>113</v>
      </c>
      <c r="C32" s="89"/>
      <c r="D32" s="89"/>
      <c r="E32" s="90"/>
      <c r="F32" s="92" t="s">
        <v>114</v>
      </c>
      <c r="G32" s="92" t="s">
        <v>115</v>
      </c>
      <c r="H32" s="88" t="s">
        <v>38</v>
      </c>
      <c r="I32" s="9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83"/>
      <c r="B33" s="84" t="s">
        <v>116</v>
      </c>
      <c r="C33" s="89"/>
      <c r="D33" s="90"/>
      <c r="E33" s="91" t="s">
        <v>117</v>
      </c>
      <c r="F33" s="87" t="s">
        <v>118</v>
      </c>
      <c r="G33" s="87" t="s">
        <v>119</v>
      </c>
      <c r="H33" s="88" t="s">
        <v>38</v>
      </c>
      <c r="I33" s="87" t="s">
        <v>120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83"/>
      <c r="B34" s="84" t="s">
        <v>121</v>
      </c>
      <c r="C34" s="89"/>
      <c r="D34" s="93" t="s">
        <v>122</v>
      </c>
      <c r="E34" s="84" t="s">
        <v>123</v>
      </c>
      <c r="F34" s="87" t="s">
        <v>124</v>
      </c>
      <c r="G34" s="87" t="s">
        <v>125</v>
      </c>
      <c r="H34" s="88" t="s">
        <v>38</v>
      </c>
      <c r="I34" s="87" t="s">
        <v>126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83"/>
      <c r="B35" s="84" t="s">
        <v>127</v>
      </c>
      <c r="C35" s="89"/>
      <c r="D35" s="89"/>
      <c r="E35" s="93" t="s">
        <v>128</v>
      </c>
      <c r="F35" s="87" t="s">
        <v>129</v>
      </c>
      <c r="G35" s="92" t="s">
        <v>130</v>
      </c>
      <c r="H35" s="88" t="s">
        <v>38</v>
      </c>
      <c r="I35" s="9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83"/>
      <c r="B36" s="84" t="s">
        <v>131</v>
      </c>
      <c r="C36" s="89"/>
      <c r="D36" s="89"/>
      <c r="E36" s="90"/>
      <c r="F36" s="87" t="s">
        <v>132</v>
      </c>
      <c r="G36" s="92" t="s">
        <v>133</v>
      </c>
      <c r="H36" s="88" t="s">
        <v>38</v>
      </c>
      <c r="I36" s="9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83"/>
      <c r="B37" s="84" t="s">
        <v>134</v>
      </c>
      <c r="C37" s="90"/>
      <c r="D37" s="90"/>
      <c r="E37" s="91" t="s">
        <v>135</v>
      </c>
      <c r="F37" s="87" t="s">
        <v>136</v>
      </c>
      <c r="G37" s="87" t="s">
        <v>137</v>
      </c>
      <c r="H37" s="88" t="s">
        <v>38</v>
      </c>
      <c r="I37" s="9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83"/>
      <c r="B38" s="84" t="s">
        <v>138</v>
      </c>
      <c r="C38" s="85" t="s">
        <v>25</v>
      </c>
      <c r="D38" s="85" t="s">
        <v>139</v>
      </c>
      <c r="E38" s="91" t="s">
        <v>140</v>
      </c>
      <c r="F38" s="87" t="s">
        <v>141</v>
      </c>
      <c r="G38" s="87" t="s">
        <v>142</v>
      </c>
      <c r="H38" s="88" t="s">
        <v>38</v>
      </c>
      <c r="I38" s="9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83"/>
      <c r="B39" s="84" t="s">
        <v>143</v>
      </c>
      <c r="C39" s="89"/>
      <c r="D39" s="89"/>
      <c r="E39" s="91" t="s">
        <v>144</v>
      </c>
      <c r="F39" s="87" t="s">
        <v>145</v>
      </c>
      <c r="G39" s="87" t="s">
        <v>146</v>
      </c>
      <c r="H39" s="88" t="s">
        <v>38</v>
      </c>
      <c r="I39" s="87" t="s">
        <v>147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83"/>
      <c r="B40" s="84" t="s">
        <v>148</v>
      </c>
      <c r="C40" s="89"/>
      <c r="D40" s="90"/>
      <c r="E40" s="84" t="s">
        <v>149</v>
      </c>
      <c r="F40" s="87" t="s">
        <v>150</v>
      </c>
      <c r="G40" s="87" t="s">
        <v>151</v>
      </c>
      <c r="H40" s="88" t="s">
        <v>38</v>
      </c>
      <c r="I40" s="9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83"/>
      <c r="B41" s="84" t="s">
        <v>152</v>
      </c>
      <c r="C41" s="89"/>
      <c r="D41" s="91" t="s">
        <v>153</v>
      </c>
      <c r="E41" s="91" t="s">
        <v>154</v>
      </c>
      <c r="F41" s="87" t="s">
        <v>155</v>
      </c>
      <c r="G41" s="87" t="s">
        <v>156</v>
      </c>
      <c r="H41" s="88" t="s">
        <v>38</v>
      </c>
      <c r="I41" s="9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83"/>
      <c r="B42" s="84" t="s">
        <v>157</v>
      </c>
      <c r="C42" s="90"/>
      <c r="D42" s="91" t="s">
        <v>158</v>
      </c>
      <c r="E42" s="91" t="s">
        <v>159</v>
      </c>
      <c r="F42" s="87" t="s">
        <v>160</v>
      </c>
      <c r="G42" s="87" t="s">
        <v>161</v>
      </c>
      <c r="H42" s="88" t="s">
        <v>38</v>
      </c>
      <c r="I42" s="9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83"/>
      <c r="B43" s="84" t="s">
        <v>162</v>
      </c>
      <c r="C43" s="93" t="s">
        <v>163</v>
      </c>
      <c r="D43" s="85" t="s">
        <v>164</v>
      </c>
      <c r="E43" s="91" t="s">
        <v>165</v>
      </c>
      <c r="F43" s="92" t="s">
        <v>166</v>
      </c>
      <c r="G43" s="87" t="s">
        <v>167</v>
      </c>
      <c r="H43" s="88" t="s">
        <v>38</v>
      </c>
      <c r="I43" s="9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83"/>
      <c r="B44" s="84" t="s">
        <v>168</v>
      </c>
      <c r="C44" s="89"/>
      <c r="D44" s="89"/>
      <c r="E44" s="91" t="s">
        <v>169</v>
      </c>
      <c r="F44" s="87" t="s">
        <v>170</v>
      </c>
      <c r="G44" s="87" t="s">
        <v>171</v>
      </c>
      <c r="H44" s="88" t="s">
        <v>38</v>
      </c>
      <c r="I44" s="9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83"/>
      <c r="B45" s="84" t="s">
        <v>172</v>
      </c>
      <c r="C45" s="89"/>
      <c r="D45" s="90"/>
      <c r="E45" s="91" t="s">
        <v>173</v>
      </c>
      <c r="F45" s="87" t="s">
        <v>174</v>
      </c>
      <c r="G45" s="87" t="s">
        <v>175</v>
      </c>
      <c r="H45" s="88" t="s">
        <v>38</v>
      </c>
      <c r="I45" s="92" t="s">
        <v>103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83"/>
      <c r="B46" s="84" t="s">
        <v>176</v>
      </c>
      <c r="C46" s="89"/>
      <c r="D46" s="85" t="s">
        <v>177</v>
      </c>
      <c r="E46" s="91" t="s">
        <v>178</v>
      </c>
      <c r="F46" s="92" t="s">
        <v>179</v>
      </c>
      <c r="G46" s="87" t="s">
        <v>180</v>
      </c>
      <c r="H46" s="88" t="s">
        <v>38</v>
      </c>
      <c r="I46" s="9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83"/>
      <c r="B47" s="84" t="s">
        <v>181</v>
      </c>
      <c r="C47" s="89"/>
      <c r="D47" s="89"/>
      <c r="E47" s="91" t="s">
        <v>182</v>
      </c>
      <c r="F47" s="92" t="s">
        <v>183</v>
      </c>
      <c r="G47" s="87" t="s">
        <v>184</v>
      </c>
      <c r="H47" s="88" t="s">
        <v>38</v>
      </c>
      <c r="I47" s="9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83"/>
      <c r="B48" s="84" t="s">
        <v>185</v>
      </c>
      <c r="C48" s="89"/>
      <c r="D48" s="89"/>
      <c r="E48" s="91" t="s">
        <v>186</v>
      </c>
      <c r="F48" s="87" t="s">
        <v>187</v>
      </c>
      <c r="G48" s="87" t="s">
        <v>188</v>
      </c>
      <c r="H48" s="88" t="s">
        <v>38</v>
      </c>
      <c r="I48" s="9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83"/>
      <c r="B49" s="84" t="s">
        <v>189</v>
      </c>
      <c r="C49" s="90"/>
      <c r="D49" s="90"/>
      <c r="E49" s="91" t="s">
        <v>190</v>
      </c>
      <c r="F49" s="87" t="s">
        <v>191</v>
      </c>
      <c r="G49" s="87" t="s">
        <v>192</v>
      </c>
      <c r="H49" s="88" t="s">
        <v>38</v>
      </c>
      <c r="I49" s="87" t="s">
        <v>193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83"/>
      <c r="B50" s="84" t="s">
        <v>194</v>
      </c>
      <c r="C50" s="85" t="s">
        <v>29</v>
      </c>
      <c r="D50" s="93" t="s">
        <v>195</v>
      </c>
      <c r="E50" s="91" t="s">
        <v>196</v>
      </c>
      <c r="F50" s="87" t="s">
        <v>197</v>
      </c>
      <c r="G50" s="87" t="s">
        <v>198</v>
      </c>
      <c r="H50" s="88" t="s">
        <v>38</v>
      </c>
      <c r="I50" s="9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83"/>
      <c r="B51" s="84" t="s">
        <v>199</v>
      </c>
      <c r="C51" s="89"/>
      <c r="D51" s="90"/>
      <c r="E51" s="91" t="s">
        <v>200</v>
      </c>
      <c r="F51" s="87" t="s">
        <v>201</v>
      </c>
      <c r="G51" s="87" t="s">
        <v>202</v>
      </c>
      <c r="H51" s="88" t="s">
        <v>38</v>
      </c>
      <c r="I51" s="9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83"/>
      <c r="B52" s="84" t="s">
        <v>203</v>
      </c>
      <c r="C52" s="89"/>
      <c r="D52" s="85" t="s">
        <v>204</v>
      </c>
      <c r="E52" s="91" t="s">
        <v>205</v>
      </c>
      <c r="F52" s="87" t="s">
        <v>206</v>
      </c>
      <c r="G52" s="87" t="s">
        <v>207</v>
      </c>
      <c r="H52" s="88" t="s">
        <v>38</v>
      </c>
      <c r="I52" s="9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83"/>
      <c r="B53" s="84" t="s">
        <v>208</v>
      </c>
      <c r="C53" s="89"/>
      <c r="D53" s="89"/>
      <c r="E53" s="91" t="s">
        <v>209</v>
      </c>
      <c r="F53" s="87" t="s">
        <v>210</v>
      </c>
      <c r="G53" s="87" t="s">
        <v>211</v>
      </c>
      <c r="H53" s="88" t="s">
        <v>38</v>
      </c>
      <c r="I53" s="9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83"/>
      <c r="B54" s="84" t="s">
        <v>212</v>
      </c>
      <c r="C54" s="90"/>
      <c r="D54" s="90"/>
      <c r="E54" s="91" t="s">
        <v>213</v>
      </c>
      <c r="F54" s="87" t="s">
        <v>214</v>
      </c>
      <c r="G54" s="87" t="s">
        <v>215</v>
      </c>
      <c r="H54" s="88" t="s">
        <v>38</v>
      </c>
      <c r="I54" s="87" t="s">
        <v>193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83"/>
      <c r="B55" s="84" t="s">
        <v>216</v>
      </c>
      <c r="C55" s="85" t="s">
        <v>34</v>
      </c>
      <c r="D55" s="91" t="s">
        <v>217</v>
      </c>
      <c r="E55" s="91" t="s">
        <v>218</v>
      </c>
      <c r="F55" s="87" t="s">
        <v>219</v>
      </c>
      <c r="G55" s="87" t="s">
        <v>220</v>
      </c>
      <c r="H55" s="88" t="s">
        <v>38</v>
      </c>
      <c r="I55" s="9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83"/>
      <c r="B56" s="84" t="s">
        <v>221</v>
      </c>
      <c r="C56" s="89"/>
      <c r="D56" s="85" t="s">
        <v>222</v>
      </c>
      <c r="E56" s="91" t="s">
        <v>223</v>
      </c>
      <c r="F56" s="87" t="s">
        <v>224</v>
      </c>
      <c r="G56" s="87" t="s">
        <v>225</v>
      </c>
      <c r="H56" s="88" t="s">
        <v>38</v>
      </c>
      <c r="I56" s="9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83"/>
      <c r="B57" s="84" t="s">
        <v>226</v>
      </c>
      <c r="C57" s="89"/>
      <c r="D57" s="89"/>
      <c r="E57" s="91" t="s">
        <v>227</v>
      </c>
      <c r="F57" s="87" t="s">
        <v>228</v>
      </c>
      <c r="G57" s="87" t="s">
        <v>229</v>
      </c>
      <c r="H57" s="88" t="s">
        <v>38</v>
      </c>
      <c r="I57" s="9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83"/>
      <c r="B58" s="84" t="s">
        <v>230</v>
      </c>
      <c r="C58" s="89"/>
      <c r="D58" s="90"/>
      <c r="E58" s="91" t="s">
        <v>231</v>
      </c>
      <c r="F58" s="87" t="s">
        <v>232</v>
      </c>
      <c r="G58" s="87" t="s">
        <v>233</v>
      </c>
      <c r="H58" s="88" t="s">
        <v>38</v>
      </c>
      <c r="I58" s="87" t="s">
        <v>234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83"/>
      <c r="B59" s="84" t="s">
        <v>235</v>
      </c>
      <c r="C59" s="89"/>
      <c r="D59" s="85" t="s">
        <v>236</v>
      </c>
      <c r="E59" s="91" t="s">
        <v>237</v>
      </c>
      <c r="F59" s="87" t="s">
        <v>238</v>
      </c>
      <c r="G59" s="87" t="s">
        <v>239</v>
      </c>
      <c r="H59" s="88" t="s">
        <v>38</v>
      </c>
      <c r="I59" s="9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83"/>
      <c r="B60" s="84" t="s">
        <v>240</v>
      </c>
      <c r="C60" s="89"/>
      <c r="D60" s="89"/>
      <c r="E60" s="91" t="s">
        <v>241</v>
      </c>
      <c r="F60" s="87" t="s">
        <v>242</v>
      </c>
      <c r="G60" s="87" t="s">
        <v>243</v>
      </c>
      <c r="H60" s="88" t="s">
        <v>38</v>
      </c>
      <c r="I60" s="9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83"/>
      <c r="B61" s="84" t="s">
        <v>244</v>
      </c>
      <c r="C61" s="90"/>
      <c r="D61" s="90"/>
      <c r="E61" s="91" t="s">
        <v>245</v>
      </c>
      <c r="F61" s="87" t="s">
        <v>246</v>
      </c>
      <c r="G61" s="87" t="s">
        <v>247</v>
      </c>
      <c r="H61" s="88" t="s">
        <v>38</v>
      </c>
      <c r="I61" s="87" t="s">
        <v>248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83"/>
      <c r="B62" s="84" t="s">
        <v>249</v>
      </c>
      <c r="C62" s="91" t="s">
        <v>18</v>
      </c>
      <c r="D62" s="91" t="s">
        <v>204</v>
      </c>
      <c r="E62" s="91" t="s">
        <v>250</v>
      </c>
      <c r="F62" s="87" t="s">
        <v>251</v>
      </c>
      <c r="G62" s="87" t="s">
        <v>252</v>
      </c>
      <c r="H62" s="88" t="s">
        <v>38</v>
      </c>
      <c r="I62" s="87" t="s">
        <v>253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3:$I$49"/>
  <mergeCells count="30">
    <mergeCell ref="E17:E18"/>
    <mergeCell ref="E19:E20"/>
    <mergeCell ref="C17:C25"/>
    <mergeCell ref="D17:D20"/>
    <mergeCell ref="D34:D37"/>
    <mergeCell ref="E35:E36"/>
    <mergeCell ref="D21:D25"/>
    <mergeCell ref="E23:E24"/>
    <mergeCell ref="C26:C28"/>
    <mergeCell ref="D26:D28"/>
    <mergeCell ref="C29:C37"/>
    <mergeCell ref="D29:D33"/>
    <mergeCell ref="E31:E32"/>
    <mergeCell ref="C50:C54"/>
    <mergeCell ref="C55:C61"/>
    <mergeCell ref="D56:D58"/>
    <mergeCell ref="D59:D61"/>
    <mergeCell ref="C38:C42"/>
    <mergeCell ref="D38:D40"/>
    <mergeCell ref="C43:C49"/>
    <mergeCell ref="D43:D45"/>
    <mergeCell ref="D46:D49"/>
    <mergeCell ref="D50:D51"/>
    <mergeCell ref="D52:D54"/>
    <mergeCell ref="B1:I1"/>
    <mergeCell ref="C6:D6"/>
    <mergeCell ref="C5:D5"/>
    <mergeCell ref="C4:D4"/>
    <mergeCell ref="B7:E7"/>
    <mergeCell ref="B3:E3"/>
  </mergeCells>
  <dataValidations>
    <dataValidation type="list" allowBlank="1" sqref="H17:H62">
      <formula1>"Pass,Fail,Not Test,N/A"</formula1>
    </dataValidation>
  </dataValidations>
  <printOptions/>
  <pageMargins bottom="0.5" footer="0.0" header="0.0" left="0.3" right="0.3" top="0.5"/>
  <pageSetup orientation="landscape"/>
  <drawing r:id="rId1"/>
</worksheet>
</file>